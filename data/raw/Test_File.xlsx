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PycharmProjects\rmc_analysis\data\raw\"/>
    </mc:Choice>
  </mc:AlternateContent>
  <xr:revisionPtr revIDLastSave="0" documentId="13_ncr:1_{9E4542DF-720F-4D30-9969-8E0AFA914FA5}" xr6:coauthVersionLast="47" xr6:coauthVersionMax="47" xr10:uidLastSave="{00000000-0000-0000-0000-000000000000}"/>
  <bookViews>
    <workbookView xWindow="-120" yWindow="-120" windowWidth="38640" windowHeight="21120" xr2:uid="{B2360A6D-52A9-45EC-89FF-8161A80B0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1" l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E2" i="1"/>
  <c r="AG2" i="1"/>
  <c r="AI2" i="1"/>
  <c r="AJ2" i="1"/>
  <c r="AK2" i="1"/>
  <c r="BH255" i="1"/>
  <c r="BG255" i="1"/>
  <c r="BF255" i="1"/>
  <c r="BE255" i="1"/>
  <c r="BB255" i="1"/>
  <c r="BA255" i="1"/>
  <c r="AZ255" i="1"/>
  <c r="AY255" i="1"/>
  <c r="AX255" i="1"/>
  <c r="AW255" i="1"/>
  <c r="V255" i="1"/>
  <c r="BC255" i="1" s="1"/>
  <c r="BH254" i="1"/>
  <c r="BG254" i="1"/>
  <c r="BF254" i="1"/>
  <c r="BE254" i="1"/>
  <c r="BB254" i="1"/>
  <c r="BA254" i="1"/>
  <c r="AZ254" i="1"/>
  <c r="AY254" i="1"/>
  <c r="AX254" i="1"/>
  <c r="AW254" i="1"/>
  <c r="AK254" i="1"/>
  <c r="V254" i="1"/>
  <c r="BC254" i="1" s="1"/>
  <c r="BH253" i="1"/>
  <c r="BG253" i="1"/>
  <c r="BF253" i="1"/>
  <c r="BE253" i="1"/>
  <c r="BB253" i="1"/>
  <c r="BA253" i="1"/>
  <c r="AZ253" i="1"/>
  <c r="AY253" i="1"/>
  <c r="AX253" i="1"/>
  <c r="AW253" i="1"/>
  <c r="AK253" i="1"/>
  <c r="V253" i="1"/>
  <c r="BC253" i="1" s="1"/>
  <c r="BH252" i="1"/>
  <c r="BG252" i="1"/>
  <c r="BF252" i="1"/>
  <c r="BE252" i="1"/>
  <c r="BC252" i="1"/>
  <c r="BB252" i="1"/>
  <c r="BA252" i="1"/>
  <c r="AZ252" i="1"/>
  <c r="AY252" i="1"/>
  <c r="AX252" i="1"/>
  <c r="AW252" i="1"/>
  <c r="AD252" i="1"/>
  <c r="AC252" i="1" s="1"/>
  <c r="J252" i="1" s="1"/>
  <c r="BH251" i="1"/>
  <c r="BG251" i="1"/>
  <c r="BF251" i="1"/>
  <c r="BE251" i="1"/>
  <c r="BC251" i="1"/>
  <c r="BB251" i="1"/>
  <c r="BA251" i="1"/>
  <c r="AZ251" i="1"/>
  <c r="AY251" i="1"/>
  <c r="AX251" i="1"/>
  <c r="AW251" i="1"/>
  <c r="AD251" i="1"/>
  <c r="AC251" i="1" s="1"/>
  <c r="J251" i="1" s="1"/>
  <c r="BH250" i="1"/>
  <c r="BG250" i="1"/>
  <c r="BF250" i="1"/>
  <c r="BE250" i="1"/>
  <c r="BB250" i="1"/>
  <c r="BA250" i="1"/>
  <c r="AZ250" i="1"/>
  <c r="AY250" i="1"/>
  <c r="AX250" i="1"/>
  <c r="AW250" i="1"/>
  <c r="AK250" i="1"/>
  <c r="V250" i="1"/>
  <c r="BC250" i="1" s="1"/>
  <c r="BH249" i="1"/>
  <c r="BG249" i="1"/>
  <c r="BF249" i="1"/>
  <c r="BE249" i="1"/>
  <c r="BB249" i="1"/>
  <c r="BA249" i="1"/>
  <c r="AZ249" i="1"/>
  <c r="AY249" i="1"/>
  <c r="AX249" i="1"/>
  <c r="AW249" i="1"/>
  <c r="AK249" i="1"/>
  <c r="V249" i="1"/>
  <c r="BC249" i="1" s="1"/>
  <c r="BH248" i="1"/>
  <c r="BG248" i="1"/>
  <c r="BF248" i="1"/>
  <c r="BE248" i="1"/>
  <c r="BB248" i="1"/>
  <c r="BA248" i="1"/>
  <c r="AZ248" i="1"/>
  <c r="AY248" i="1"/>
  <c r="AX248" i="1"/>
  <c r="AW248" i="1"/>
  <c r="AK248" i="1"/>
  <c r="V248" i="1"/>
  <c r="AD248" i="1" s="1"/>
  <c r="AC248" i="1" s="1"/>
  <c r="J248" i="1" s="1"/>
  <c r="BH247" i="1"/>
  <c r="BG247" i="1"/>
  <c r="BF247" i="1"/>
  <c r="BE247" i="1"/>
  <c r="BB247" i="1"/>
  <c r="BA247" i="1"/>
  <c r="AZ247" i="1"/>
  <c r="AY247" i="1"/>
  <c r="AX247" i="1"/>
  <c r="AW247" i="1"/>
  <c r="AK247" i="1"/>
  <c r="V247" i="1"/>
  <c r="BC247" i="1" s="1"/>
  <c r="BH246" i="1"/>
  <c r="BG246" i="1"/>
  <c r="BF246" i="1"/>
  <c r="BE246" i="1"/>
  <c r="BB246" i="1"/>
  <c r="BA246" i="1"/>
  <c r="AZ246" i="1"/>
  <c r="AY246" i="1"/>
  <c r="AX246" i="1"/>
  <c r="AW246" i="1"/>
  <c r="AK246" i="1"/>
  <c r="V246" i="1"/>
  <c r="BC246" i="1" s="1"/>
  <c r="BH245" i="1"/>
  <c r="BG245" i="1"/>
  <c r="BF245" i="1"/>
  <c r="BE245" i="1"/>
  <c r="BB245" i="1"/>
  <c r="BA245" i="1"/>
  <c r="AZ245" i="1"/>
  <c r="AY245" i="1"/>
  <c r="AX245" i="1"/>
  <c r="AW245" i="1"/>
  <c r="AK245" i="1"/>
  <c r="V245" i="1"/>
  <c r="AD245" i="1" s="1"/>
  <c r="AC245" i="1" s="1"/>
  <c r="J245" i="1" s="1"/>
  <c r="M245" i="1" s="1"/>
  <c r="BH244" i="1"/>
  <c r="BG244" i="1"/>
  <c r="BF244" i="1"/>
  <c r="BE244" i="1"/>
  <c r="BB244" i="1"/>
  <c r="BA244" i="1"/>
  <c r="AZ244" i="1"/>
  <c r="AY244" i="1"/>
  <c r="AX244" i="1"/>
  <c r="AW244" i="1"/>
  <c r="AK244" i="1"/>
  <c r="V244" i="1"/>
  <c r="BH243" i="1"/>
  <c r="BG243" i="1"/>
  <c r="BF243" i="1"/>
  <c r="BE243" i="1"/>
  <c r="BB243" i="1"/>
  <c r="BA243" i="1"/>
  <c r="AZ243" i="1"/>
  <c r="AY243" i="1"/>
  <c r="AX243" i="1"/>
  <c r="AW243" i="1"/>
  <c r="AK243" i="1"/>
  <c r="V243" i="1"/>
  <c r="BC243" i="1" s="1"/>
  <c r="BH242" i="1"/>
  <c r="BG242" i="1"/>
  <c r="BF242" i="1"/>
  <c r="BE242" i="1"/>
  <c r="BB242" i="1"/>
  <c r="BA242" i="1"/>
  <c r="AZ242" i="1"/>
  <c r="AY242" i="1"/>
  <c r="AX242" i="1"/>
  <c r="AW242" i="1"/>
  <c r="AK242" i="1"/>
  <c r="V242" i="1"/>
  <c r="AD242" i="1" s="1"/>
  <c r="AC242" i="1" s="1"/>
  <c r="J242" i="1" s="1"/>
  <c r="BH241" i="1"/>
  <c r="BG241" i="1"/>
  <c r="BF241" i="1"/>
  <c r="BE241" i="1"/>
  <c r="BC241" i="1"/>
  <c r="BB241" i="1"/>
  <c r="BA241" i="1"/>
  <c r="AZ241" i="1"/>
  <c r="AY241" i="1"/>
  <c r="AX241" i="1"/>
  <c r="AW241" i="1"/>
  <c r="AD241" i="1"/>
  <c r="AC241" i="1" s="1"/>
  <c r="J241" i="1" s="1"/>
  <c r="BH240" i="1"/>
  <c r="BG240" i="1"/>
  <c r="BF240" i="1"/>
  <c r="BE240" i="1"/>
  <c r="BC240" i="1"/>
  <c r="BB240" i="1"/>
  <c r="BA240" i="1"/>
  <c r="AZ240" i="1"/>
  <c r="AY240" i="1"/>
  <c r="AX240" i="1"/>
  <c r="AW240" i="1"/>
  <c r="AD240" i="1"/>
  <c r="AC240" i="1" s="1"/>
  <c r="J240" i="1" s="1"/>
  <c r="BH239" i="1"/>
  <c r="BG239" i="1"/>
  <c r="BF239" i="1"/>
  <c r="BE239" i="1"/>
  <c r="BB239" i="1"/>
  <c r="BA239" i="1"/>
  <c r="AZ239" i="1"/>
  <c r="AY239" i="1"/>
  <c r="AX239" i="1"/>
  <c r="AW239" i="1"/>
  <c r="AK239" i="1"/>
  <c r="V239" i="1"/>
  <c r="BC239" i="1" s="1"/>
  <c r="BH238" i="1"/>
  <c r="BG238" i="1"/>
  <c r="BF238" i="1"/>
  <c r="BE238" i="1"/>
  <c r="BB238" i="1"/>
  <c r="BA238" i="1"/>
  <c r="AZ238" i="1"/>
  <c r="AY238" i="1"/>
  <c r="AX238" i="1"/>
  <c r="AW238" i="1"/>
  <c r="AK238" i="1"/>
  <c r="V238" i="1"/>
  <c r="BC238" i="1" s="1"/>
  <c r="BH237" i="1"/>
  <c r="BG237" i="1"/>
  <c r="BF237" i="1"/>
  <c r="BE237" i="1"/>
  <c r="BB237" i="1"/>
  <c r="BA237" i="1"/>
  <c r="AZ237" i="1"/>
  <c r="AY237" i="1"/>
  <c r="AX237" i="1"/>
  <c r="AW237" i="1"/>
  <c r="AK237" i="1"/>
  <c r="V237" i="1"/>
  <c r="AD237" i="1" s="1"/>
  <c r="AC237" i="1" s="1"/>
  <c r="J237" i="1" s="1"/>
  <c r="M237" i="1" s="1"/>
  <c r="BH236" i="1"/>
  <c r="BG236" i="1"/>
  <c r="BF236" i="1"/>
  <c r="BE236" i="1"/>
  <c r="BB236" i="1"/>
  <c r="BA236" i="1"/>
  <c r="AZ236" i="1"/>
  <c r="AY236" i="1"/>
  <c r="AX236" i="1"/>
  <c r="AW236" i="1"/>
  <c r="AK236" i="1"/>
  <c r="V236" i="1"/>
  <c r="BH235" i="1"/>
  <c r="BG235" i="1"/>
  <c r="BF235" i="1"/>
  <c r="BE235" i="1"/>
  <c r="BB235" i="1"/>
  <c r="BA235" i="1"/>
  <c r="AZ235" i="1"/>
  <c r="AY235" i="1"/>
  <c r="AX235" i="1"/>
  <c r="AW235" i="1"/>
  <c r="AK235" i="1"/>
  <c r="V235" i="1"/>
  <c r="AD235" i="1" s="1"/>
  <c r="AC235" i="1" s="1"/>
  <c r="J235" i="1" s="1"/>
  <c r="BH234" i="1"/>
  <c r="BG234" i="1"/>
  <c r="BF234" i="1"/>
  <c r="BE234" i="1"/>
  <c r="BC234" i="1"/>
  <c r="BB234" i="1"/>
  <c r="BA234" i="1"/>
  <c r="AZ234" i="1"/>
  <c r="AY234" i="1"/>
  <c r="AX234" i="1"/>
  <c r="AW234" i="1"/>
  <c r="AK234" i="1"/>
  <c r="AD234" i="1"/>
  <c r="AC234" i="1" s="1"/>
  <c r="J234" i="1" s="1"/>
  <c r="L234" i="1" s="1"/>
  <c r="BH233" i="1"/>
  <c r="BG233" i="1"/>
  <c r="BF233" i="1"/>
  <c r="BE233" i="1"/>
  <c r="BC233" i="1"/>
  <c r="BB233" i="1"/>
  <c r="BA233" i="1"/>
  <c r="AZ233" i="1"/>
  <c r="AY233" i="1"/>
  <c r="AX233" i="1"/>
  <c r="AW233" i="1"/>
  <c r="AK233" i="1"/>
  <c r="AD233" i="1"/>
  <c r="AC233" i="1" s="1"/>
  <c r="J233" i="1" s="1"/>
  <c r="BH232" i="1"/>
  <c r="BG232" i="1"/>
  <c r="BF232" i="1"/>
  <c r="BE232" i="1"/>
  <c r="BC232" i="1"/>
  <c r="BB232" i="1"/>
  <c r="BA232" i="1"/>
  <c r="AZ232" i="1"/>
  <c r="AY232" i="1"/>
  <c r="AX232" i="1"/>
  <c r="AW232" i="1"/>
  <c r="AK232" i="1"/>
  <c r="AD232" i="1"/>
  <c r="AC232" i="1" s="1"/>
  <c r="J232" i="1" s="1"/>
  <c r="BH231" i="1"/>
  <c r="BG231" i="1"/>
  <c r="BF231" i="1"/>
  <c r="BE231" i="1"/>
  <c r="BC231" i="1"/>
  <c r="BB231" i="1"/>
  <c r="BA231" i="1"/>
  <c r="AZ231" i="1"/>
  <c r="AY231" i="1"/>
  <c r="AX231" i="1"/>
  <c r="AW231" i="1"/>
  <c r="AK231" i="1"/>
  <c r="AD231" i="1"/>
  <c r="AC231" i="1" s="1"/>
  <c r="J231" i="1" s="1"/>
  <c r="BH230" i="1"/>
  <c r="BG230" i="1"/>
  <c r="BF230" i="1"/>
  <c r="BE230" i="1"/>
  <c r="BB230" i="1"/>
  <c r="BA230" i="1"/>
  <c r="AZ230" i="1"/>
  <c r="AY230" i="1"/>
  <c r="AX230" i="1"/>
  <c r="AW230" i="1"/>
  <c r="AK230" i="1"/>
  <c r="V230" i="1"/>
  <c r="BC230" i="1" s="1"/>
  <c r="BH229" i="1"/>
  <c r="BG229" i="1"/>
  <c r="BF229" i="1"/>
  <c r="BE229" i="1"/>
  <c r="BC229" i="1"/>
  <c r="BB229" i="1"/>
  <c r="BA229" i="1"/>
  <c r="AZ229" i="1"/>
  <c r="AY229" i="1"/>
  <c r="AX229" i="1"/>
  <c r="AW229" i="1"/>
  <c r="AK229" i="1"/>
  <c r="AD229" i="1"/>
  <c r="AC229" i="1" s="1"/>
  <c r="J229" i="1" s="1"/>
  <c r="BH228" i="1"/>
  <c r="BG228" i="1"/>
  <c r="BF228" i="1"/>
  <c r="BE228" i="1"/>
  <c r="BC228" i="1"/>
  <c r="BB228" i="1"/>
  <c r="BA228" i="1"/>
  <c r="AZ228" i="1"/>
  <c r="AY228" i="1"/>
  <c r="AX228" i="1"/>
  <c r="AW228" i="1"/>
  <c r="AD228" i="1"/>
  <c r="AC228" i="1" s="1"/>
  <c r="J228" i="1" s="1"/>
  <c r="BH227" i="1"/>
  <c r="BG227" i="1"/>
  <c r="BF227" i="1"/>
  <c r="BE227" i="1"/>
  <c r="BB227" i="1"/>
  <c r="BA227" i="1"/>
  <c r="AZ227" i="1"/>
  <c r="AY227" i="1"/>
  <c r="AX227" i="1"/>
  <c r="AW227" i="1"/>
  <c r="AK227" i="1"/>
  <c r="V227" i="1"/>
  <c r="BC227" i="1" s="1"/>
  <c r="BH226" i="1"/>
  <c r="BG226" i="1"/>
  <c r="BF226" i="1"/>
  <c r="BE226" i="1"/>
  <c r="BB226" i="1"/>
  <c r="BA226" i="1"/>
  <c r="AZ226" i="1"/>
  <c r="AY226" i="1"/>
  <c r="AX226" i="1"/>
  <c r="AK226" i="1"/>
  <c r="V226" i="1"/>
  <c r="BC226" i="1" s="1"/>
  <c r="P226" i="1"/>
  <c r="BH225" i="1"/>
  <c r="BG225" i="1"/>
  <c r="BF225" i="1"/>
  <c r="BE225" i="1"/>
  <c r="BC225" i="1"/>
  <c r="BB225" i="1"/>
  <c r="BA225" i="1"/>
  <c r="AZ225" i="1"/>
  <c r="AY225" i="1"/>
  <c r="AX225" i="1"/>
  <c r="AW225" i="1"/>
  <c r="AK225" i="1"/>
  <c r="AD225" i="1"/>
  <c r="AC225" i="1" s="1"/>
  <c r="J225" i="1" s="1"/>
  <c r="BH224" i="1"/>
  <c r="BG224" i="1"/>
  <c r="BF224" i="1"/>
  <c r="BE224" i="1"/>
  <c r="BB224" i="1"/>
  <c r="BA224" i="1"/>
  <c r="AZ224" i="1"/>
  <c r="AY224" i="1"/>
  <c r="AX224" i="1"/>
  <c r="AW224" i="1"/>
  <c r="AK224" i="1"/>
  <c r="V224" i="1"/>
  <c r="BC224" i="1" s="1"/>
  <c r="BH223" i="1"/>
  <c r="BG223" i="1"/>
  <c r="BF223" i="1"/>
  <c r="BE223" i="1"/>
  <c r="BB223" i="1"/>
  <c r="BA223" i="1"/>
  <c r="AZ223" i="1"/>
  <c r="AY223" i="1"/>
  <c r="AX223" i="1"/>
  <c r="AW223" i="1"/>
  <c r="V223" i="1"/>
  <c r="BC223" i="1" s="1"/>
  <c r="BH222" i="1"/>
  <c r="BG222" i="1"/>
  <c r="BF222" i="1"/>
  <c r="BE222" i="1"/>
  <c r="BC222" i="1"/>
  <c r="BB222" i="1"/>
  <c r="BA222" i="1"/>
  <c r="AZ222" i="1"/>
  <c r="AY222" i="1"/>
  <c r="AX222" i="1"/>
  <c r="AW222" i="1"/>
  <c r="AD222" i="1"/>
  <c r="AC222" i="1" s="1"/>
  <c r="J222" i="1" s="1"/>
  <c r="BH221" i="1"/>
  <c r="BG221" i="1"/>
  <c r="BF221" i="1"/>
  <c r="BE221" i="1"/>
  <c r="BC221" i="1"/>
  <c r="BB221" i="1"/>
  <c r="BA221" i="1"/>
  <c r="AZ221" i="1"/>
  <c r="AY221" i="1"/>
  <c r="AX221" i="1"/>
  <c r="AW221" i="1"/>
  <c r="AD221" i="1"/>
  <c r="AC221" i="1" s="1"/>
  <c r="J221" i="1" s="1"/>
  <c r="BH220" i="1"/>
  <c r="BG220" i="1"/>
  <c r="BF220" i="1"/>
  <c r="BE220" i="1"/>
  <c r="BB220" i="1"/>
  <c r="BA220" i="1"/>
  <c r="AZ220" i="1"/>
  <c r="AY220" i="1"/>
  <c r="AX220" i="1"/>
  <c r="AK220" i="1"/>
  <c r="V220" i="1"/>
  <c r="BC220" i="1" s="1"/>
  <c r="P220" i="1"/>
  <c r="BH219" i="1"/>
  <c r="BG219" i="1"/>
  <c r="BF219" i="1"/>
  <c r="BE219" i="1"/>
  <c r="BC219" i="1"/>
  <c r="BB219" i="1"/>
  <c r="BA219" i="1"/>
  <c r="AZ219" i="1"/>
  <c r="AY219" i="1"/>
  <c r="AX219" i="1"/>
  <c r="AW219" i="1"/>
  <c r="AK219" i="1"/>
  <c r="AD219" i="1"/>
  <c r="AC219" i="1" s="1"/>
  <c r="J219" i="1" s="1"/>
  <c r="BH218" i="1"/>
  <c r="BG218" i="1"/>
  <c r="BF218" i="1"/>
  <c r="BE218" i="1"/>
  <c r="BB218" i="1"/>
  <c r="BA218" i="1"/>
  <c r="AZ218" i="1"/>
  <c r="AY218" i="1"/>
  <c r="AX218" i="1"/>
  <c r="AW218" i="1"/>
  <c r="AK218" i="1"/>
  <c r="V218" i="1"/>
  <c r="BC218" i="1" s="1"/>
  <c r="BH217" i="1"/>
  <c r="BG217" i="1"/>
  <c r="BF217" i="1"/>
  <c r="BE217" i="1"/>
  <c r="BC217" i="1"/>
  <c r="BB217" i="1"/>
  <c r="BA217" i="1"/>
  <c r="AZ217" i="1"/>
  <c r="AY217" i="1"/>
  <c r="AX217" i="1"/>
  <c r="AW217" i="1"/>
  <c r="AK217" i="1"/>
  <c r="AD217" i="1"/>
  <c r="AC217" i="1" s="1"/>
  <c r="J217" i="1" s="1"/>
  <c r="BH216" i="1"/>
  <c r="BG216" i="1"/>
  <c r="BF216" i="1"/>
  <c r="BE216" i="1"/>
  <c r="BC216" i="1"/>
  <c r="BB216" i="1"/>
  <c r="BA216" i="1"/>
  <c r="AZ216" i="1"/>
  <c r="AY216" i="1"/>
  <c r="AX216" i="1"/>
  <c r="AW216" i="1"/>
  <c r="AK216" i="1"/>
  <c r="AD216" i="1"/>
  <c r="AC216" i="1" s="1"/>
  <c r="J216" i="1" s="1"/>
  <c r="BH215" i="1"/>
  <c r="BG215" i="1"/>
  <c r="BF215" i="1"/>
  <c r="BE215" i="1"/>
  <c r="BB215" i="1"/>
  <c r="BA215" i="1"/>
  <c r="AZ215" i="1"/>
  <c r="AY215" i="1"/>
  <c r="AX215" i="1"/>
  <c r="AW215" i="1"/>
  <c r="AK215" i="1"/>
  <c r="V215" i="1"/>
  <c r="AD215" i="1" s="1"/>
  <c r="AC215" i="1" s="1"/>
  <c r="J215" i="1" s="1"/>
  <c r="M215" i="1" s="1"/>
  <c r="BH214" i="1"/>
  <c r="BG214" i="1"/>
  <c r="BF214" i="1"/>
  <c r="BE214" i="1"/>
  <c r="BC214" i="1"/>
  <c r="BB214" i="1"/>
  <c r="BA214" i="1"/>
  <c r="AZ214" i="1"/>
  <c r="AY214" i="1"/>
  <c r="AX214" i="1"/>
  <c r="AW214" i="1"/>
  <c r="AK214" i="1"/>
  <c r="AD214" i="1"/>
  <c r="AC214" i="1" s="1"/>
  <c r="J214" i="1" s="1"/>
  <c r="M214" i="1" s="1"/>
  <c r="BH213" i="1"/>
  <c r="BG213" i="1"/>
  <c r="BF213" i="1"/>
  <c r="BE213" i="1"/>
  <c r="BB213" i="1"/>
  <c r="BA213" i="1"/>
  <c r="AZ213" i="1"/>
  <c r="AY213" i="1"/>
  <c r="AX213" i="1"/>
  <c r="AW213" i="1"/>
  <c r="AK213" i="1"/>
  <c r="V213" i="1"/>
  <c r="AD213" i="1" s="1"/>
  <c r="AC213" i="1" s="1"/>
  <c r="J213" i="1" s="1"/>
  <c r="BH212" i="1"/>
  <c r="BG212" i="1"/>
  <c r="BF212" i="1"/>
  <c r="BE212" i="1"/>
  <c r="BC212" i="1"/>
  <c r="BB212" i="1"/>
  <c r="BA212" i="1"/>
  <c r="AZ212" i="1"/>
  <c r="AY212" i="1"/>
  <c r="AX212" i="1"/>
  <c r="AW212" i="1"/>
  <c r="AK212" i="1"/>
  <c r="AD212" i="1"/>
  <c r="AC212" i="1" s="1"/>
  <c r="J212" i="1" s="1"/>
  <c r="BH211" i="1"/>
  <c r="BG211" i="1"/>
  <c r="BF211" i="1"/>
  <c r="BE211" i="1"/>
  <c r="BB211" i="1"/>
  <c r="BA211" i="1"/>
  <c r="AZ211" i="1"/>
  <c r="AY211" i="1"/>
  <c r="AX211" i="1"/>
  <c r="AK211" i="1"/>
  <c r="V211" i="1"/>
  <c r="BC211" i="1" s="1"/>
  <c r="P211" i="1"/>
  <c r="AW211" i="1" s="1"/>
  <c r="BH210" i="1"/>
  <c r="BG210" i="1"/>
  <c r="BF210" i="1"/>
  <c r="BE210" i="1"/>
  <c r="BB210" i="1"/>
  <c r="BA210" i="1"/>
  <c r="AZ210" i="1"/>
  <c r="AY210" i="1"/>
  <c r="AX210" i="1"/>
  <c r="AW210" i="1"/>
  <c r="AK210" i="1"/>
  <c r="V210" i="1"/>
  <c r="AD210" i="1" s="1"/>
  <c r="AC210" i="1" s="1"/>
  <c r="J210" i="1" s="1"/>
  <c r="M210" i="1" s="1"/>
  <c r="BH209" i="1"/>
  <c r="BG209" i="1"/>
  <c r="BF209" i="1"/>
  <c r="BE209" i="1"/>
  <c r="BB209" i="1"/>
  <c r="BA209" i="1"/>
  <c r="AZ209" i="1"/>
  <c r="AY209" i="1"/>
  <c r="AX209" i="1"/>
  <c r="AW209" i="1"/>
  <c r="AK209" i="1"/>
  <c r="V209" i="1"/>
  <c r="AD209" i="1" s="1"/>
  <c r="AC209" i="1" s="1"/>
  <c r="J209" i="1" s="1"/>
  <c r="L209" i="1" s="1"/>
  <c r="BH208" i="1"/>
  <c r="BG208" i="1"/>
  <c r="BF208" i="1"/>
  <c r="BE208" i="1"/>
  <c r="BB208" i="1"/>
  <c r="BA208" i="1"/>
  <c r="AZ208" i="1"/>
  <c r="AY208" i="1"/>
  <c r="AX208" i="1"/>
  <c r="V208" i="1"/>
  <c r="P208" i="1"/>
  <c r="AW208" i="1" s="1"/>
  <c r="BH207" i="1"/>
  <c r="BG207" i="1"/>
  <c r="BF207" i="1"/>
  <c r="BE207" i="1"/>
  <c r="BC207" i="1"/>
  <c r="BB207" i="1"/>
  <c r="BA207" i="1"/>
  <c r="AZ207" i="1"/>
  <c r="AY207" i="1"/>
  <c r="AX207" i="1"/>
  <c r="AW207" i="1"/>
  <c r="AD207" i="1"/>
  <c r="AC207" i="1" s="1"/>
  <c r="J207" i="1" s="1"/>
  <c r="BH206" i="1"/>
  <c r="BG206" i="1"/>
  <c r="BF206" i="1"/>
  <c r="BE206" i="1"/>
  <c r="BC206" i="1"/>
  <c r="BB206" i="1"/>
  <c r="BA206" i="1"/>
  <c r="AZ206" i="1"/>
  <c r="AY206" i="1"/>
  <c r="AX206" i="1"/>
  <c r="AW206" i="1"/>
  <c r="AD206" i="1"/>
  <c r="AC206" i="1" s="1"/>
  <c r="J206" i="1" s="1"/>
  <c r="M206" i="1" s="1"/>
  <c r="BH205" i="1"/>
  <c r="BG205" i="1"/>
  <c r="BF205" i="1"/>
  <c r="BE205" i="1"/>
  <c r="BB205" i="1"/>
  <c r="BA205" i="1"/>
  <c r="AZ205" i="1"/>
  <c r="AY205" i="1"/>
  <c r="AX205" i="1"/>
  <c r="AK205" i="1"/>
  <c r="V205" i="1"/>
  <c r="BC205" i="1" s="1"/>
  <c r="P205" i="1"/>
  <c r="AW205" i="1" s="1"/>
  <c r="BH204" i="1"/>
  <c r="BG204" i="1"/>
  <c r="BF204" i="1"/>
  <c r="BE204" i="1"/>
  <c r="BB204" i="1"/>
  <c r="BA204" i="1"/>
  <c r="AZ204" i="1"/>
  <c r="AY204" i="1"/>
  <c r="AX204" i="1"/>
  <c r="AW204" i="1"/>
  <c r="AK204" i="1"/>
  <c r="V204" i="1"/>
  <c r="BC204" i="1" s="1"/>
  <c r="BH203" i="1"/>
  <c r="BG203" i="1"/>
  <c r="BF203" i="1"/>
  <c r="BE203" i="1"/>
  <c r="BC203" i="1"/>
  <c r="BB203" i="1"/>
  <c r="BA203" i="1"/>
  <c r="AZ203" i="1"/>
  <c r="AY203" i="1"/>
  <c r="AX203" i="1"/>
  <c r="AW203" i="1"/>
  <c r="AK203" i="1"/>
  <c r="AD203" i="1"/>
  <c r="AC203" i="1" s="1"/>
  <c r="J203" i="1" s="1"/>
  <c r="BH202" i="1"/>
  <c r="BG202" i="1"/>
  <c r="BF202" i="1"/>
  <c r="BE202" i="1"/>
  <c r="BC202" i="1"/>
  <c r="BB202" i="1"/>
  <c r="BA202" i="1"/>
  <c r="AZ202" i="1"/>
  <c r="AY202" i="1"/>
  <c r="AX202" i="1"/>
  <c r="AW202" i="1"/>
  <c r="AK202" i="1"/>
  <c r="AD202" i="1"/>
  <c r="AC202" i="1" s="1"/>
  <c r="J202" i="1" s="1"/>
  <c r="L202" i="1" s="1"/>
  <c r="BH201" i="1"/>
  <c r="BG201" i="1"/>
  <c r="BF201" i="1"/>
  <c r="BE201" i="1"/>
  <c r="BB201" i="1"/>
  <c r="BA201" i="1"/>
  <c r="AZ201" i="1"/>
  <c r="AY201" i="1"/>
  <c r="AX201" i="1"/>
  <c r="AW201" i="1"/>
  <c r="AK201" i="1"/>
  <c r="V201" i="1"/>
  <c r="AD201" i="1" s="1"/>
  <c r="AC201" i="1" s="1"/>
  <c r="J201" i="1" s="1"/>
  <c r="BH200" i="1"/>
  <c r="BG200" i="1"/>
  <c r="BF200" i="1"/>
  <c r="BE200" i="1"/>
  <c r="BB200" i="1"/>
  <c r="BA200" i="1"/>
  <c r="AZ200" i="1"/>
  <c r="AY200" i="1"/>
  <c r="AX200" i="1"/>
  <c r="AW200" i="1"/>
  <c r="AK200" i="1"/>
  <c r="V200" i="1"/>
  <c r="AD200" i="1" s="1"/>
  <c r="AC200" i="1" s="1"/>
  <c r="J200" i="1" s="1"/>
  <c r="L200" i="1" s="1"/>
  <c r="BH199" i="1"/>
  <c r="BG199" i="1"/>
  <c r="BF199" i="1"/>
  <c r="BE199" i="1"/>
  <c r="BC199" i="1"/>
  <c r="BB199" i="1"/>
  <c r="BA199" i="1"/>
  <c r="AZ199" i="1"/>
  <c r="AY199" i="1"/>
  <c r="AX199" i="1"/>
  <c r="AW199" i="1"/>
  <c r="AK199" i="1"/>
  <c r="AD199" i="1"/>
  <c r="AC199" i="1" s="1"/>
  <c r="J199" i="1" s="1"/>
  <c r="L199" i="1" s="1"/>
  <c r="BH198" i="1"/>
  <c r="BG198" i="1"/>
  <c r="BF198" i="1"/>
  <c r="BE198" i="1"/>
  <c r="BC198" i="1"/>
  <c r="BB198" i="1"/>
  <c r="BA198" i="1"/>
  <c r="AZ198" i="1"/>
  <c r="AY198" i="1"/>
  <c r="AX198" i="1"/>
  <c r="AW198" i="1"/>
  <c r="AK198" i="1"/>
  <c r="AD198" i="1"/>
  <c r="AC198" i="1" s="1"/>
  <c r="J198" i="1" s="1"/>
  <c r="BH197" i="1"/>
  <c r="BG197" i="1"/>
  <c r="BF197" i="1"/>
  <c r="BE197" i="1"/>
  <c r="BC197" i="1"/>
  <c r="BB197" i="1"/>
  <c r="BA197" i="1"/>
  <c r="AZ197" i="1"/>
  <c r="AY197" i="1"/>
  <c r="AX197" i="1"/>
  <c r="AW197" i="1"/>
  <c r="AD197" i="1"/>
  <c r="AC197" i="1" s="1"/>
  <c r="J197" i="1" s="1"/>
  <c r="BH196" i="1"/>
  <c r="BG196" i="1"/>
  <c r="BF196" i="1"/>
  <c r="BE196" i="1"/>
  <c r="BC196" i="1"/>
  <c r="BB196" i="1"/>
  <c r="BA196" i="1"/>
  <c r="AZ196" i="1"/>
  <c r="AY196" i="1"/>
  <c r="AX196" i="1"/>
  <c r="AW196" i="1"/>
  <c r="AK196" i="1"/>
  <c r="AD196" i="1"/>
  <c r="AC196" i="1" s="1"/>
  <c r="J196" i="1" s="1"/>
  <c r="BH195" i="1"/>
  <c r="BG195" i="1"/>
  <c r="BF195" i="1"/>
  <c r="BE195" i="1"/>
  <c r="BC195" i="1"/>
  <c r="BB195" i="1"/>
  <c r="BA195" i="1"/>
  <c r="AZ195" i="1"/>
  <c r="AY195" i="1"/>
  <c r="AX195" i="1"/>
  <c r="AW195" i="1"/>
  <c r="AD195" i="1"/>
  <c r="AC195" i="1" s="1"/>
  <c r="J195" i="1" s="1"/>
  <c r="L195" i="1" s="1"/>
  <c r="BH194" i="1"/>
  <c r="BG194" i="1"/>
  <c r="BF194" i="1"/>
  <c r="BE194" i="1"/>
  <c r="BB194" i="1"/>
  <c r="BA194" i="1"/>
  <c r="AZ194" i="1"/>
  <c r="AY194" i="1"/>
  <c r="AX194" i="1"/>
  <c r="AW194" i="1"/>
  <c r="V194" i="1"/>
  <c r="BH193" i="1"/>
  <c r="BG193" i="1"/>
  <c r="BF193" i="1"/>
  <c r="BE193" i="1"/>
  <c r="BC193" i="1"/>
  <c r="BB193" i="1"/>
  <c r="BA193" i="1"/>
  <c r="AZ193" i="1"/>
  <c r="AY193" i="1"/>
  <c r="AX193" i="1"/>
  <c r="AW193" i="1"/>
  <c r="AK193" i="1"/>
  <c r="AD193" i="1"/>
  <c r="AC193" i="1" s="1"/>
  <c r="J193" i="1" s="1"/>
  <c r="BH192" i="1"/>
  <c r="BG192" i="1"/>
  <c r="BF192" i="1"/>
  <c r="BE192" i="1"/>
  <c r="BC192" i="1"/>
  <c r="BB192" i="1"/>
  <c r="BA192" i="1"/>
  <c r="AZ192" i="1"/>
  <c r="AY192" i="1"/>
  <c r="AX192" i="1"/>
  <c r="AW192" i="1"/>
  <c r="AK192" i="1"/>
  <c r="AD192" i="1"/>
  <c r="AC192" i="1" s="1"/>
  <c r="J192" i="1" s="1"/>
  <c r="BH191" i="1"/>
  <c r="BG191" i="1"/>
  <c r="BF191" i="1"/>
  <c r="BE191" i="1"/>
  <c r="BB191" i="1"/>
  <c r="BA191" i="1"/>
  <c r="AZ191" i="1"/>
  <c r="AY191" i="1"/>
  <c r="AX191" i="1"/>
  <c r="AW191" i="1"/>
  <c r="AK191" i="1"/>
  <c r="V191" i="1"/>
  <c r="BC191" i="1" s="1"/>
  <c r="BH190" i="1"/>
  <c r="BG190" i="1"/>
  <c r="BF190" i="1"/>
  <c r="BE190" i="1"/>
  <c r="BB190" i="1"/>
  <c r="BA190" i="1"/>
  <c r="AZ190" i="1"/>
  <c r="AY190" i="1"/>
  <c r="AX190" i="1"/>
  <c r="AK190" i="1"/>
  <c r="V190" i="1"/>
  <c r="BC190" i="1" s="1"/>
  <c r="P190" i="1"/>
  <c r="BH189" i="1"/>
  <c r="BG189" i="1"/>
  <c r="BF189" i="1"/>
  <c r="BE189" i="1"/>
  <c r="BB189" i="1"/>
  <c r="BA189" i="1"/>
  <c r="AZ189" i="1"/>
  <c r="AY189" i="1"/>
  <c r="AX189" i="1"/>
  <c r="AW189" i="1"/>
  <c r="AK189" i="1"/>
  <c r="V189" i="1"/>
  <c r="BH188" i="1"/>
  <c r="BG188" i="1"/>
  <c r="BF188" i="1"/>
  <c r="BE188" i="1"/>
  <c r="BB188" i="1"/>
  <c r="BA188" i="1"/>
  <c r="AZ188" i="1"/>
  <c r="AY188" i="1"/>
  <c r="AX188" i="1"/>
  <c r="AW188" i="1"/>
  <c r="AK188" i="1"/>
  <c r="V188" i="1"/>
  <c r="BH187" i="1"/>
  <c r="BG187" i="1"/>
  <c r="BF187" i="1"/>
  <c r="BE187" i="1"/>
  <c r="BB187" i="1"/>
  <c r="BA187" i="1"/>
  <c r="AZ187" i="1"/>
  <c r="AY187" i="1"/>
  <c r="AX187" i="1"/>
  <c r="AW187" i="1"/>
  <c r="V187" i="1"/>
  <c r="AD187" i="1" s="1"/>
  <c r="AC187" i="1" s="1"/>
  <c r="J187" i="1" s="1"/>
  <c r="BH186" i="1"/>
  <c r="BG186" i="1"/>
  <c r="BF186" i="1"/>
  <c r="BE186" i="1"/>
  <c r="BB186" i="1"/>
  <c r="BA186" i="1"/>
  <c r="AZ186" i="1"/>
  <c r="AY186" i="1"/>
  <c r="AX186" i="1"/>
  <c r="AW186" i="1"/>
  <c r="V186" i="1"/>
  <c r="BC186" i="1" s="1"/>
  <c r="BH185" i="1"/>
  <c r="BG185" i="1"/>
  <c r="BF185" i="1"/>
  <c r="BE185" i="1"/>
  <c r="BB185" i="1"/>
  <c r="BA185" i="1"/>
  <c r="AZ185" i="1"/>
  <c r="AY185" i="1"/>
  <c r="AX185" i="1"/>
  <c r="AW185" i="1"/>
  <c r="AK185" i="1"/>
  <c r="V185" i="1"/>
  <c r="AD185" i="1" s="1"/>
  <c r="AC185" i="1" s="1"/>
  <c r="J185" i="1" s="1"/>
  <c r="BH184" i="1"/>
  <c r="BG184" i="1"/>
  <c r="BF184" i="1"/>
  <c r="BE184" i="1"/>
  <c r="BB184" i="1"/>
  <c r="BA184" i="1"/>
  <c r="AZ184" i="1"/>
  <c r="AY184" i="1"/>
  <c r="AX184" i="1"/>
  <c r="AW184" i="1"/>
  <c r="AK184" i="1"/>
  <c r="V184" i="1"/>
  <c r="AD184" i="1" s="1"/>
  <c r="AC184" i="1" s="1"/>
  <c r="J184" i="1" s="1"/>
  <c r="BH183" i="1"/>
  <c r="BG183" i="1"/>
  <c r="BF183" i="1"/>
  <c r="BE183" i="1"/>
  <c r="BB183" i="1"/>
  <c r="BA183" i="1"/>
  <c r="AZ183" i="1"/>
  <c r="AY183" i="1"/>
  <c r="AX183" i="1"/>
  <c r="AW183" i="1"/>
  <c r="AK183" i="1"/>
  <c r="V183" i="1"/>
  <c r="BC183" i="1" s="1"/>
  <c r="BH182" i="1"/>
  <c r="BG182" i="1"/>
  <c r="BF182" i="1"/>
  <c r="BE182" i="1"/>
  <c r="BB182" i="1"/>
  <c r="BA182" i="1"/>
  <c r="AZ182" i="1"/>
  <c r="AY182" i="1"/>
  <c r="AX182" i="1"/>
  <c r="AW182" i="1"/>
  <c r="AK182" i="1"/>
  <c r="V182" i="1"/>
  <c r="BC182" i="1" s="1"/>
  <c r="BH181" i="1"/>
  <c r="BG181" i="1"/>
  <c r="BF181" i="1"/>
  <c r="BE181" i="1"/>
  <c r="BB181" i="1"/>
  <c r="BA181" i="1"/>
  <c r="AZ181" i="1"/>
  <c r="AY181" i="1"/>
  <c r="AX181" i="1"/>
  <c r="AW181" i="1"/>
  <c r="AK181" i="1"/>
  <c r="V181" i="1"/>
  <c r="BC181" i="1" s="1"/>
  <c r="BH180" i="1"/>
  <c r="BG180" i="1"/>
  <c r="BF180" i="1"/>
  <c r="BE180" i="1"/>
  <c r="BC180" i="1"/>
  <c r="BB180" i="1"/>
  <c r="BA180" i="1"/>
  <c r="AZ180" i="1"/>
  <c r="AY180" i="1"/>
  <c r="AX180" i="1"/>
  <c r="AW180" i="1"/>
  <c r="AD180" i="1"/>
  <c r="AC180" i="1" s="1"/>
  <c r="J180" i="1" s="1"/>
  <c r="M180" i="1" s="1"/>
  <c r="BH179" i="1"/>
  <c r="BG179" i="1"/>
  <c r="BF179" i="1"/>
  <c r="BE179" i="1"/>
  <c r="BC179" i="1"/>
  <c r="BB179" i="1"/>
  <c r="BA179" i="1"/>
  <c r="AZ179" i="1"/>
  <c r="AY179" i="1"/>
  <c r="AX179" i="1"/>
  <c r="AW179" i="1"/>
  <c r="AD179" i="1"/>
  <c r="AC179" i="1" s="1"/>
  <c r="J179" i="1" s="1"/>
  <c r="BH178" i="1"/>
  <c r="BG178" i="1"/>
  <c r="BF178" i="1"/>
  <c r="BE178" i="1"/>
  <c r="BB178" i="1"/>
  <c r="BA178" i="1"/>
  <c r="AZ178" i="1"/>
  <c r="AY178" i="1"/>
  <c r="AX178" i="1"/>
  <c r="AW178" i="1"/>
  <c r="V178" i="1"/>
  <c r="BC178" i="1" s="1"/>
  <c r="BH177" i="1"/>
  <c r="BG177" i="1"/>
  <c r="BF177" i="1"/>
  <c r="BE177" i="1"/>
  <c r="BC177" i="1"/>
  <c r="BB177" i="1"/>
  <c r="BA177" i="1"/>
  <c r="AZ177" i="1"/>
  <c r="AY177" i="1"/>
  <c r="AX177" i="1"/>
  <c r="AW177" i="1"/>
  <c r="AK177" i="1"/>
  <c r="AD177" i="1"/>
  <c r="AC177" i="1" s="1"/>
  <c r="J177" i="1" s="1"/>
  <c r="M177" i="1" s="1"/>
  <c r="BH176" i="1"/>
  <c r="BG176" i="1"/>
  <c r="BF176" i="1"/>
  <c r="BE176" i="1"/>
  <c r="BC176" i="1"/>
  <c r="BB176" i="1"/>
  <c r="BA176" i="1"/>
  <c r="AZ176" i="1"/>
  <c r="AY176" i="1"/>
  <c r="AX176" i="1"/>
  <c r="AW176" i="1"/>
  <c r="AK176" i="1"/>
  <c r="AD176" i="1"/>
  <c r="AC176" i="1" s="1"/>
  <c r="J176" i="1" s="1"/>
  <c r="BH175" i="1"/>
  <c r="BG175" i="1"/>
  <c r="BF175" i="1"/>
  <c r="BE175" i="1"/>
  <c r="BB175" i="1"/>
  <c r="BA175" i="1"/>
  <c r="AZ175" i="1"/>
  <c r="AY175" i="1"/>
  <c r="AX175" i="1"/>
  <c r="AW175" i="1"/>
  <c r="AK175" i="1"/>
  <c r="V175" i="1"/>
  <c r="AD175" i="1" s="1"/>
  <c r="AC175" i="1" s="1"/>
  <c r="J175" i="1" s="1"/>
  <c r="BH174" i="1"/>
  <c r="BG174" i="1"/>
  <c r="BF174" i="1"/>
  <c r="BE174" i="1"/>
  <c r="BB174" i="1"/>
  <c r="BA174" i="1"/>
  <c r="AZ174" i="1"/>
  <c r="AY174" i="1"/>
  <c r="AX174" i="1"/>
  <c r="AW174" i="1"/>
  <c r="AK174" i="1"/>
  <c r="V174" i="1"/>
  <c r="BC174" i="1" s="1"/>
  <c r="BH173" i="1"/>
  <c r="BG173" i="1"/>
  <c r="BF173" i="1"/>
  <c r="BE173" i="1"/>
  <c r="BB173" i="1"/>
  <c r="BA173" i="1"/>
  <c r="AZ173" i="1"/>
  <c r="AY173" i="1"/>
  <c r="AX173" i="1"/>
  <c r="AW173" i="1"/>
  <c r="AK173" i="1"/>
  <c r="V173" i="1"/>
  <c r="BC173" i="1" s="1"/>
  <c r="BH172" i="1"/>
  <c r="BG172" i="1"/>
  <c r="BF172" i="1"/>
  <c r="BE172" i="1"/>
  <c r="BB172" i="1"/>
  <c r="BA172" i="1"/>
  <c r="AZ172" i="1"/>
  <c r="AY172" i="1"/>
  <c r="AX172" i="1"/>
  <c r="AK172" i="1"/>
  <c r="V172" i="1"/>
  <c r="BC172" i="1" s="1"/>
  <c r="P172" i="1"/>
  <c r="AW172" i="1" s="1"/>
  <c r="BH171" i="1"/>
  <c r="BG171" i="1"/>
  <c r="BF171" i="1"/>
  <c r="BE171" i="1"/>
  <c r="BC171" i="1"/>
  <c r="BB171" i="1"/>
  <c r="BA171" i="1"/>
  <c r="AZ171" i="1"/>
  <c r="AY171" i="1"/>
  <c r="AX171" i="1"/>
  <c r="AW171" i="1"/>
  <c r="AK171" i="1"/>
  <c r="AD171" i="1"/>
  <c r="AC171" i="1" s="1"/>
  <c r="J171" i="1" s="1"/>
  <c r="BH170" i="1"/>
  <c r="BG170" i="1"/>
  <c r="BF170" i="1"/>
  <c r="BE170" i="1"/>
  <c r="BB170" i="1"/>
  <c r="BA170" i="1"/>
  <c r="AZ170" i="1"/>
  <c r="AY170" i="1"/>
  <c r="AX170" i="1"/>
  <c r="V170" i="1"/>
  <c r="BC170" i="1" s="1"/>
  <c r="P170" i="1"/>
  <c r="BH169" i="1"/>
  <c r="BG169" i="1"/>
  <c r="BF169" i="1"/>
  <c r="BE169" i="1"/>
  <c r="BB169" i="1"/>
  <c r="BA169" i="1"/>
  <c r="AZ169" i="1"/>
  <c r="AY169" i="1"/>
  <c r="AX169" i="1"/>
  <c r="AW169" i="1"/>
  <c r="V169" i="1"/>
  <c r="AD169" i="1" s="1"/>
  <c r="AC169" i="1" s="1"/>
  <c r="J169" i="1" s="1"/>
  <c r="BH168" i="1"/>
  <c r="BG168" i="1"/>
  <c r="BF168" i="1"/>
  <c r="BE168" i="1"/>
  <c r="BB168" i="1"/>
  <c r="BA168" i="1"/>
  <c r="AZ168" i="1"/>
  <c r="AY168" i="1"/>
  <c r="AX168" i="1"/>
  <c r="AW168" i="1"/>
  <c r="AK168" i="1"/>
  <c r="V168" i="1"/>
  <c r="AD168" i="1" s="1"/>
  <c r="AC168" i="1" s="1"/>
  <c r="J168" i="1" s="1"/>
  <c r="BH167" i="1"/>
  <c r="BG167" i="1"/>
  <c r="BF167" i="1"/>
  <c r="BE167" i="1"/>
  <c r="BB167" i="1"/>
  <c r="BA167" i="1"/>
  <c r="AZ167" i="1"/>
  <c r="AY167" i="1"/>
  <c r="AX167" i="1"/>
  <c r="AW167" i="1"/>
  <c r="AK167" i="1"/>
  <c r="V167" i="1"/>
  <c r="BH166" i="1"/>
  <c r="BG166" i="1"/>
  <c r="BF166" i="1"/>
  <c r="BE166" i="1"/>
  <c r="BB166" i="1"/>
  <c r="BA166" i="1"/>
  <c r="AZ166" i="1"/>
  <c r="AY166" i="1"/>
  <c r="AX166" i="1"/>
  <c r="AW166" i="1"/>
  <c r="AK166" i="1"/>
  <c r="V166" i="1"/>
  <c r="AD166" i="1" s="1"/>
  <c r="AC166" i="1" s="1"/>
  <c r="J166" i="1" s="1"/>
  <c r="BH165" i="1"/>
  <c r="BG165" i="1"/>
  <c r="BF165" i="1"/>
  <c r="BE165" i="1"/>
  <c r="BB165" i="1"/>
  <c r="BA165" i="1"/>
  <c r="AZ165" i="1"/>
  <c r="AY165" i="1"/>
  <c r="AX165" i="1"/>
  <c r="AW165" i="1"/>
  <c r="V165" i="1"/>
  <c r="BC165" i="1" s="1"/>
  <c r="BH164" i="1"/>
  <c r="BG164" i="1"/>
  <c r="BF164" i="1"/>
  <c r="BE164" i="1"/>
  <c r="BB164" i="1"/>
  <c r="BA164" i="1"/>
  <c r="AZ164" i="1"/>
  <c r="AY164" i="1"/>
  <c r="AX164" i="1"/>
  <c r="AW164" i="1"/>
  <c r="V164" i="1"/>
  <c r="AD164" i="1" s="1"/>
  <c r="AC164" i="1" s="1"/>
  <c r="J164" i="1" s="1"/>
  <c r="BH163" i="1"/>
  <c r="BG163" i="1"/>
  <c r="BF163" i="1"/>
  <c r="BE163" i="1"/>
  <c r="BB163" i="1"/>
  <c r="BA163" i="1"/>
  <c r="AZ163" i="1"/>
  <c r="AY163" i="1"/>
  <c r="AX163" i="1"/>
  <c r="AW163" i="1"/>
  <c r="AK163" i="1"/>
  <c r="V163" i="1"/>
  <c r="AD163" i="1" s="1"/>
  <c r="AC163" i="1" s="1"/>
  <c r="J163" i="1" s="1"/>
  <c r="M163" i="1" s="1"/>
  <c r="BH162" i="1"/>
  <c r="BG162" i="1"/>
  <c r="BF162" i="1"/>
  <c r="BE162" i="1"/>
  <c r="BC162" i="1"/>
  <c r="BB162" i="1"/>
  <c r="BA162" i="1"/>
  <c r="AZ162" i="1"/>
  <c r="AY162" i="1"/>
  <c r="AX162" i="1"/>
  <c r="AW162" i="1"/>
  <c r="AK162" i="1"/>
  <c r="AD162" i="1"/>
  <c r="AC162" i="1" s="1"/>
  <c r="J162" i="1" s="1"/>
  <c r="BH161" i="1"/>
  <c r="BG161" i="1"/>
  <c r="BF161" i="1"/>
  <c r="BE161" i="1"/>
  <c r="BC161" i="1"/>
  <c r="BB161" i="1"/>
  <c r="BA161" i="1"/>
  <c r="AZ161" i="1"/>
  <c r="AY161" i="1"/>
  <c r="AX161" i="1"/>
  <c r="AW161" i="1"/>
  <c r="AK161" i="1"/>
  <c r="AD161" i="1"/>
  <c r="AC161" i="1" s="1"/>
  <c r="J161" i="1" s="1"/>
  <c r="BH160" i="1"/>
  <c r="BG160" i="1"/>
  <c r="BF160" i="1"/>
  <c r="BE160" i="1"/>
  <c r="BB160" i="1"/>
  <c r="BA160" i="1"/>
  <c r="AZ160" i="1"/>
  <c r="AY160" i="1"/>
  <c r="AX160" i="1"/>
  <c r="AW160" i="1"/>
  <c r="AK160" i="1"/>
  <c r="V160" i="1"/>
  <c r="AD160" i="1" s="1"/>
  <c r="AC160" i="1" s="1"/>
  <c r="J160" i="1" s="1"/>
  <c r="BH159" i="1"/>
  <c r="BG159" i="1"/>
  <c r="BF159" i="1"/>
  <c r="BE159" i="1"/>
  <c r="BC159" i="1"/>
  <c r="BB159" i="1"/>
  <c r="BA159" i="1"/>
  <c r="AZ159" i="1"/>
  <c r="AY159" i="1"/>
  <c r="AX159" i="1"/>
  <c r="AW159" i="1"/>
  <c r="AK159" i="1"/>
  <c r="AD159" i="1"/>
  <c r="AC159" i="1" s="1"/>
  <c r="J159" i="1" s="1"/>
  <c r="BH158" i="1"/>
  <c r="BG158" i="1"/>
  <c r="BF158" i="1"/>
  <c r="BE158" i="1"/>
  <c r="BC158" i="1"/>
  <c r="BB158" i="1"/>
  <c r="BA158" i="1"/>
  <c r="AZ158" i="1"/>
  <c r="AY158" i="1"/>
  <c r="AX158" i="1"/>
  <c r="AW158" i="1"/>
  <c r="AK158" i="1"/>
  <c r="AD158" i="1"/>
  <c r="AC158" i="1" s="1"/>
  <c r="J158" i="1" s="1"/>
  <c r="BH157" i="1"/>
  <c r="BG157" i="1"/>
  <c r="BF157" i="1"/>
  <c r="BE157" i="1"/>
  <c r="BB157" i="1"/>
  <c r="BA157" i="1"/>
  <c r="AZ157" i="1"/>
  <c r="AY157" i="1"/>
  <c r="AX157" i="1"/>
  <c r="V157" i="1"/>
  <c r="P157" i="1"/>
  <c r="AW157" i="1" s="1"/>
  <c r="BH156" i="1"/>
  <c r="BG156" i="1"/>
  <c r="BF156" i="1"/>
  <c r="BE156" i="1"/>
  <c r="BB156" i="1"/>
  <c r="BA156" i="1"/>
  <c r="AZ156" i="1"/>
  <c r="AY156" i="1"/>
  <c r="AX156" i="1"/>
  <c r="AW156" i="1"/>
  <c r="AK156" i="1"/>
  <c r="V156" i="1"/>
  <c r="AD156" i="1" s="1"/>
  <c r="AC156" i="1" s="1"/>
  <c r="J156" i="1" s="1"/>
  <c r="L156" i="1" s="1"/>
  <c r="BH155" i="1"/>
  <c r="BG155" i="1"/>
  <c r="BF155" i="1"/>
  <c r="BE155" i="1"/>
  <c r="BB155" i="1"/>
  <c r="BA155" i="1"/>
  <c r="AZ155" i="1"/>
  <c r="AY155" i="1"/>
  <c r="AX155" i="1"/>
  <c r="AW155" i="1"/>
  <c r="AK155" i="1"/>
  <c r="V155" i="1"/>
  <c r="AD155" i="1" s="1"/>
  <c r="AC155" i="1" s="1"/>
  <c r="J155" i="1" s="1"/>
  <c r="BH154" i="1"/>
  <c r="BG154" i="1"/>
  <c r="BE154" i="1"/>
  <c r="BB154" i="1"/>
  <c r="BA154" i="1"/>
  <c r="AZ154" i="1"/>
  <c r="AY154" i="1"/>
  <c r="AX154" i="1"/>
  <c r="AW154" i="1"/>
  <c r="AK154" i="1"/>
  <c r="Y154" i="1"/>
  <c r="BF154" i="1" s="1"/>
  <c r="V154" i="1"/>
  <c r="BH153" i="1"/>
  <c r="BG153" i="1"/>
  <c r="BF153" i="1"/>
  <c r="BE153" i="1"/>
  <c r="BC153" i="1"/>
  <c r="BB153" i="1"/>
  <c r="BA153" i="1"/>
  <c r="AZ153" i="1"/>
  <c r="AY153" i="1"/>
  <c r="AX153" i="1"/>
  <c r="AW153" i="1"/>
  <c r="AK153" i="1"/>
  <c r="AD153" i="1"/>
  <c r="AC153" i="1" s="1"/>
  <c r="J153" i="1" s="1"/>
  <c r="BH152" i="1"/>
  <c r="BG152" i="1"/>
  <c r="BF152" i="1"/>
  <c r="BE152" i="1"/>
  <c r="BC152" i="1"/>
  <c r="BB152" i="1"/>
  <c r="BA152" i="1"/>
  <c r="AZ152" i="1"/>
  <c r="AY152" i="1"/>
  <c r="AX152" i="1"/>
  <c r="AW152" i="1"/>
  <c r="AK152" i="1"/>
  <c r="AD152" i="1"/>
  <c r="AC152" i="1" s="1"/>
  <c r="J152" i="1" s="1"/>
  <c r="BH151" i="1"/>
  <c r="BG151" i="1"/>
  <c r="BF151" i="1"/>
  <c r="BE151" i="1"/>
  <c r="BC151" i="1"/>
  <c r="BB151" i="1"/>
  <c r="BA151" i="1"/>
  <c r="AZ151" i="1"/>
  <c r="AY151" i="1"/>
  <c r="AX151" i="1"/>
  <c r="AW151" i="1"/>
  <c r="AK151" i="1"/>
  <c r="AD151" i="1"/>
  <c r="AC151" i="1" s="1"/>
  <c r="J151" i="1" s="1"/>
  <c r="BH150" i="1"/>
  <c r="BG150" i="1"/>
  <c r="BF150" i="1"/>
  <c r="BE150" i="1"/>
  <c r="BB150" i="1"/>
  <c r="BA150" i="1"/>
  <c r="AZ150" i="1"/>
  <c r="AY150" i="1"/>
  <c r="AX150" i="1"/>
  <c r="AW150" i="1"/>
  <c r="AK150" i="1"/>
  <c r="V150" i="1"/>
  <c r="BC150" i="1" s="1"/>
  <c r="BH149" i="1"/>
  <c r="BG149" i="1"/>
  <c r="BF149" i="1"/>
  <c r="BE149" i="1"/>
  <c r="BC149" i="1"/>
  <c r="BB149" i="1"/>
  <c r="BA149" i="1"/>
  <c r="AZ149" i="1"/>
  <c r="AY149" i="1"/>
  <c r="AX149" i="1"/>
  <c r="AW149" i="1"/>
  <c r="AK149" i="1"/>
  <c r="AD149" i="1"/>
  <c r="AC149" i="1" s="1"/>
  <c r="J149" i="1" s="1"/>
  <c r="M149" i="1" s="1"/>
  <c r="BH148" i="1"/>
  <c r="BG148" i="1"/>
  <c r="BF148" i="1"/>
  <c r="BE148" i="1"/>
  <c r="BB148" i="1"/>
  <c r="BA148" i="1"/>
  <c r="AZ148" i="1"/>
  <c r="AY148" i="1"/>
  <c r="AX148" i="1"/>
  <c r="AW148" i="1"/>
  <c r="AK148" i="1"/>
  <c r="V148" i="1"/>
  <c r="BH147" i="1"/>
  <c r="BG147" i="1"/>
  <c r="BF147" i="1"/>
  <c r="BE147" i="1"/>
  <c r="BB147" i="1"/>
  <c r="BA147" i="1"/>
  <c r="AZ147" i="1"/>
  <c r="AY147" i="1"/>
  <c r="AX147" i="1"/>
  <c r="V147" i="1"/>
  <c r="P147" i="1"/>
  <c r="AW147" i="1" s="1"/>
  <c r="BH146" i="1"/>
  <c r="BG146" i="1"/>
  <c r="BF146" i="1"/>
  <c r="BE146" i="1"/>
  <c r="BC146" i="1"/>
  <c r="BB146" i="1"/>
  <c r="BA146" i="1"/>
  <c r="AZ146" i="1"/>
  <c r="AY146" i="1"/>
  <c r="AX146" i="1"/>
  <c r="AW146" i="1"/>
  <c r="AD146" i="1"/>
  <c r="AC146" i="1" s="1"/>
  <c r="J146" i="1" s="1"/>
  <c r="BH145" i="1"/>
  <c r="BG145" i="1"/>
  <c r="BF145" i="1"/>
  <c r="BE145" i="1"/>
  <c r="BC145" i="1"/>
  <c r="BB145" i="1"/>
  <c r="BA145" i="1"/>
  <c r="AZ145" i="1"/>
  <c r="AY145" i="1"/>
  <c r="AX145" i="1"/>
  <c r="AW145" i="1"/>
  <c r="AK145" i="1"/>
  <c r="AD145" i="1"/>
  <c r="AC145" i="1" s="1"/>
  <c r="J145" i="1" s="1"/>
  <c r="L145" i="1" s="1"/>
  <c r="BH144" i="1"/>
  <c r="BG144" i="1"/>
  <c r="BF144" i="1"/>
  <c r="BE144" i="1"/>
  <c r="BC144" i="1"/>
  <c r="BB144" i="1"/>
  <c r="BA144" i="1"/>
  <c r="AZ144" i="1"/>
  <c r="AY144" i="1"/>
  <c r="AX144" i="1"/>
  <c r="AW144" i="1"/>
  <c r="AK144" i="1"/>
  <c r="AD144" i="1"/>
  <c r="AC144" i="1" s="1"/>
  <c r="J144" i="1" s="1"/>
  <c r="L144" i="1" s="1"/>
  <c r="BH143" i="1"/>
  <c r="BG143" i="1"/>
  <c r="BF143" i="1"/>
  <c r="BE143" i="1"/>
  <c r="BC143" i="1"/>
  <c r="BB143" i="1"/>
  <c r="BA143" i="1"/>
  <c r="AZ143" i="1"/>
  <c r="AY143" i="1"/>
  <c r="AX143" i="1"/>
  <c r="AW143" i="1"/>
  <c r="AK143" i="1"/>
  <c r="AD143" i="1"/>
  <c r="AC143" i="1" s="1"/>
  <c r="J143" i="1" s="1"/>
  <c r="M143" i="1" s="1"/>
  <c r="BH142" i="1"/>
  <c r="BG142" i="1"/>
  <c r="BF142" i="1"/>
  <c r="BE142" i="1"/>
  <c r="BC142" i="1"/>
  <c r="BB142" i="1"/>
  <c r="BA142" i="1"/>
  <c r="AZ142" i="1"/>
  <c r="AY142" i="1"/>
  <c r="AX142" i="1"/>
  <c r="AW142" i="1"/>
  <c r="AD142" i="1"/>
  <c r="AC142" i="1" s="1"/>
  <c r="J142" i="1" s="1"/>
  <c r="BH141" i="1"/>
  <c r="BG141" i="1"/>
  <c r="BF141" i="1"/>
  <c r="BE141" i="1"/>
  <c r="BC141" i="1"/>
  <c r="BB141" i="1"/>
  <c r="BA141" i="1"/>
  <c r="AZ141" i="1"/>
  <c r="AY141" i="1"/>
  <c r="AX141" i="1"/>
  <c r="AW141" i="1"/>
  <c r="AD141" i="1"/>
  <c r="AC141" i="1" s="1"/>
  <c r="J141" i="1" s="1"/>
  <c r="M141" i="1" s="1"/>
  <c r="BH140" i="1"/>
  <c r="BG140" i="1"/>
  <c r="BF140" i="1"/>
  <c r="BE140" i="1"/>
  <c r="BC140" i="1"/>
  <c r="BB140" i="1"/>
  <c r="BA140" i="1"/>
  <c r="AZ140" i="1"/>
  <c r="AY140" i="1"/>
  <c r="AX140" i="1"/>
  <c r="AW140" i="1"/>
  <c r="AD140" i="1"/>
  <c r="AC140" i="1" s="1"/>
  <c r="J140" i="1" s="1"/>
  <c r="BH139" i="1"/>
  <c r="BG139" i="1"/>
  <c r="BF139" i="1"/>
  <c r="BE139" i="1"/>
  <c r="BC139" i="1"/>
  <c r="BB139" i="1"/>
  <c r="BA139" i="1"/>
  <c r="AZ139" i="1"/>
  <c r="AY139" i="1"/>
  <c r="AX139" i="1"/>
  <c r="AW139" i="1"/>
  <c r="AD139" i="1"/>
  <c r="AC139" i="1" s="1"/>
  <c r="J139" i="1" s="1"/>
  <c r="BH138" i="1"/>
  <c r="BG138" i="1"/>
  <c r="BF138" i="1"/>
  <c r="BE138" i="1"/>
  <c r="BC138" i="1"/>
  <c r="BB138" i="1"/>
  <c r="BA138" i="1"/>
  <c r="AZ138" i="1"/>
  <c r="AY138" i="1"/>
  <c r="AX138" i="1"/>
  <c r="AW138" i="1"/>
  <c r="AK138" i="1"/>
  <c r="AD138" i="1"/>
  <c r="AC138" i="1" s="1"/>
  <c r="J138" i="1" s="1"/>
  <c r="L138" i="1" s="1"/>
  <c r="BH137" i="1"/>
  <c r="BG137" i="1"/>
  <c r="BF137" i="1"/>
  <c r="BE137" i="1"/>
  <c r="BC137" i="1"/>
  <c r="BB137" i="1"/>
  <c r="BA137" i="1"/>
  <c r="AZ137" i="1"/>
  <c r="AY137" i="1"/>
  <c r="AX137" i="1"/>
  <c r="AW137" i="1"/>
  <c r="AK137" i="1"/>
  <c r="AA137" i="1"/>
  <c r="AD137" i="1" s="1"/>
  <c r="AC137" i="1" s="1"/>
  <c r="J137" i="1" s="1"/>
  <c r="M137" i="1" s="1"/>
  <c r="BH136" i="1"/>
  <c r="BG136" i="1"/>
  <c r="BF136" i="1"/>
  <c r="BE136" i="1"/>
  <c r="BC136" i="1"/>
  <c r="BB136" i="1"/>
  <c r="BA136" i="1"/>
  <c r="AZ136" i="1"/>
  <c r="AY136" i="1"/>
  <c r="AX136" i="1"/>
  <c r="AW136" i="1"/>
  <c r="AK136" i="1"/>
  <c r="AD136" i="1"/>
  <c r="AC136" i="1" s="1"/>
  <c r="J136" i="1" s="1"/>
  <c r="BH135" i="1"/>
  <c r="BG135" i="1"/>
  <c r="BF135" i="1"/>
  <c r="BE135" i="1"/>
  <c r="BC135" i="1"/>
  <c r="BB135" i="1"/>
  <c r="BA135" i="1"/>
  <c r="AZ135" i="1"/>
  <c r="AY135" i="1"/>
  <c r="AX135" i="1"/>
  <c r="AW135" i="1"/>
  <c r="AK135" i="1"/>
  <c r="AA135" i="1"/>
  <c r="AD135" i="1" s="1"/>
  <c r="AC135" i="1" s="1"/>
  <c r="J135" i="1" s="1"/>
  <c r="M135" i="1" s="1"/>
  <c r="BH134" i="1"/>
  <c r="BG134" i="1"/>
  <c r="BF134" i="1"/>
  <c r="BE134" i="1"/>
  <c r="BC134" i="1"/>
  <c r="BB134" i="1"/>
  <c r="BA134" i="1"/>
  <c r="AZ134" i="1"/>
  <c r="AY134" i="1"/>
  <c r="AX134" i="1"/>
  <c r="AW134" i="1"/>
  <c r="AD134" i="1"/>
  <c r="AC134" i="1" s="1"/>
  <c r="J134" i="1" s="1"/>
  <c r="M134" i="1" s="1"/>
  <c r="BH133" i="1"/>
  <c r="BG133" i="1"/>
  <c r="BF133" i="1"/>
  <c r="BE133" i="1"/>
  <c r="BC133" i="1"/>
  <c r="BB133" i="1"/>
  <c r="BA133" i="1"/>
  <c r="AZ133" i="1"/>
  <c r="AY133" i="1"/>
  <c r="AX133" i="1"/>
  <c r="AW133" i="1"/>
  <c r="AD133" i="1"/>
  <c r="AC133" i="1" s="1"/>
  <c r="J133" i="1" s="1"/>
  <c r="BH132" i="1"/>
  <c r="BG132" i="1"/>
  <c r="BF132" i="1"/>
  <c r="BE132" i="1"/>
  <c r="BC132" i="1"/>
  <c r="BB132" i="1"/>
  <c r="BA132" i="1"/>
  <c r="AZ132" i="1"/>
  <c r="AY132" i="1"/>
  <c r="AX132" i="1"/>
  <c r="AW132" i="1"/>
  <c r="AD132" i="1"/>
  <c r="AC132" i="1" s="1"/>
  <c r="J132" i="1" s="1"/>
  <c r="BH131" i="1"/>
  <c r="BG131" i="1"/>
  <c r="BF131" i="1"/>
  <c r="BE131" i="1"/>
  <c r="BB131" i="1"/>
  <c r="BA131" i="1"/>
  <c r="AZ131" i="1"/>
  <c r="AY131" i="1"/>
  <c r="AX131" i="1"/>
  <c r="AW131" i="1"/>
  <c r="V131" i="1"/>
  <c r="AD131" i="1" s="1"/>
  <c r="AC131" i="1" s="1"/>
  <c r="J131" i="1" s="1"/>
  <c r="BH130" i="1"/>
  <c r="BG130" i="1"/>
  <c r="BF130" i="1"/>
  <c r="BE130" i="1"/>
  <c r="BC130" i="1"/>
  <c r="BB130" i="1"/>
  <c r="BA130" i="1"/>
  <c r="AZ130" i="1"/>
  <c r="AY130" i="1"/>
  <c r="AX130" i="1"/>
  <c r="AW130" i="1"/>
  <c r="AK130" i="1"/>
  <c r="AD130" i="1"/>
  <c r="AC130" i="1" s="1"/>
  <c r="J130" i="1" s="1"/>
  <c r="L130" i="1" s="1"/>
  <c r="BH129" i="1"/>
  <c r="BG129" i="1"/>
  <c r="BF129" i="1"/>
  <c r="BE129" i="1"/>
  <c r="BC129" i="1"/>
  <c r="BB129" i="1"/>
  <c r="BA129" i="1"/>
  <c r="AZ129" i="1"/>
  <c r="AY129" i="1"/>
  <c r="AX129" i="1"/>
  <c r="AW129" i="1"/>
  <c r="AK129" i="1"/>
  <c r="AD129" i="1"/>
  <c r="AC129" i="1" s="1"/>
  <c r="J129" i="1" s="1"/>
  <c r="BH128" i="1"/>
  <c r="BG128" i="1"/>
  <c r="BF128" i="1"/>
  <c r="BE128" i="1"/>
  <c r="BC128" i="1"/>
  <c r="BB128" i="1"/>
  <c r="BA128" i="1"/>
  <c r="AZ128" i="1"/>
  <c r="AY128" i="1"/>
  <c r="AX128" i="1"/>
  <c r="AW128" i="1"/>
  <c r="AD128" i="1"/>
  <c r="AC128" i="1" s="1"/>
  <c r="J128" i="1" s="1"/>
  <c r="BH127" i="1"/>
  <c r="BG127" i="1"/>
  <c r="BF127" i="1"/>
  <c r="BE127" i="1"/>
  <c r="BC127" i="1"/>
  <c r="BB127" i="1"/>
  <c r="BA127" i="1"/>
  <c r="AZ127" i="1"/>
  <c r="AY127" i="1"/>
  <c r="AX127" i="1"/>
  <c r="AW127" i="1"/>
  <c r="AD127" i="1"/>
  <c r="AC127" i="1" s="1"/>
  <c r="J127" i="1" s="1"/>
  <c r="BH126" i="1"/>
  <c r="BG126" i="1"/>
  <c r="BF126" i="1"/>
  <c r="BE126" i="1"/>
  <c r="BC126" i="1"/>
  <c r="BB126" i="1"/>
  <c r="BA126" i="1"/>
  <c r="AZ126" i="1"/>
  <c r="AY126" i="1"/>
  <c r="AX126" i="1"/>
  <c r="AW126" i="1"/>
  <c r="AD126" i="1"/>
  <c r="AC126" i="1" s="1"/>
  <c r="J126" i="1" s="1"/>
  <c r="M126" i="1" s="1"/>
  <c r="BH125" i="1"/>
  <c r="BG125" i="1"/>
  <c r="BF125" i="1"/>
  <c r="BE125" i="1"/>
  <c r="BC125" i="1"/>
  <c r="BB125" i="1"/>
  <c r="BA125" i="1"/>
  <c r="AZ125" i="1"/>
  <c r="AY125" i="1"/>
  <c r="AX125" i="1"/>
  <c r="AW125" i="1"/>
  <c r="AD125" i="1"/>
  <c r="AC125" i="1" s="1"/>
  <c r="J125" i="1" s="1"/>
  <c r="BH124" i="1"/>
  <c r="BG124" i="1"/>
  <c r="BF124" i="1"/>
  <c r="BE124" i="1"/>
  <c r="BC124" i="1"/>
  <c r="BB124" i="1"/>
  <c r="BA124" i="1"/>
  <c r="AZ124" i="1"/>
  <c r="AY124" i="1"/>
  <c r="AX124" i="1"/>
  <c r="AW124" i="1"/>
  <c r="AD124" i="1"/>
  <c r="AC124" i="1" s="1"/>
  <c r="J124" i="1" s="1"/>
  <c r="BH123" i="1"/>
  <c r="BG123" i="1"/>
  <c r="BF123" i="1"/>
  <c r="BE123" i="1"/>
  <c r="BC123" i="1"/>
  <c r="BB123" i="1"/>
  <c r="BA123" i="1"/>
  <c r="AZ123" i="1"/>
  <c r="AY123" i="1"/>
  <c r="AX123" i="1"/>
  <c r="AW123" i="1"/>
  <c r="AK123" i="1"/>
  <c r="AD123" i="1"/>
  <c r="AC123" i="1" s="1"/>
  <c r="J123" i="1" s="1"/>
  <c r="BH122" i="1"/>
  <c r="BG122" i="1"/>
  <c r="BF122" i="1"/>
  <c r="BE122" i="1"/>
  <c r="BB122" i="1"/>
  <c r="BA122" i="1"/>
  <c r="AZ122" i="1"/>
  <c r="AY122" i="1"/>
  <c r="AX122" i="1"/>
  <c r="AW122" i="1"/>
  <c r="AK122" i="1"/>
  <c r="V122" i="1"/>
  <c r="BH121" i="1"/>
  <c r="BG121" i="1"/>
  <c r="BF121" i="1"/>
  <c r="BE121" i="1"/>
  <c r="BB121" i="1"/>
  <c r="BA121" i="1"/>
  <c r="AZ121" i="1"/>
  <c r="AY121" i="1"/>
  <c r="AX121" i="1"/>
  <c r="AW121" i="1"/>
  <c r="AK121" i="1"/>
  <c r="V121" i="1"/>
  <c r="AD121" i="1" s="1"/>
  <c r="AC121" i="1" s="1"/>
  <c r="J121" i="1" s="1"/>
  <c r="BH120" i="1"/>
  <c r="BG120" i="1"/>
  <c r="BF120" i="1"/>
  <c r="BE120" i="1"/>
  <c r="BC120" i="1"/>
  <c r="BB120" i="1"/>
  <c r="BA120" i="1"/>
  <c r="AZ120" i="1"/>
  <c r="AY120" i="1"/>
  <c r="AX120" i="1"/>
  <c r="AW120" i="1"/>
  <c r="AK120" i="1"/>
  <c r="AD120" i="1"/>
  <c r="AC120" i="1" s="1"/>
  <c r="J120" i="1" s="1"/>
  <c r="BH119" i="1"/>
  <c r="BG119" i="1"/>
  <c r="BF119" i="1"/>
  <c r="BE119" i="1"/>
  <c r="BC119" i="1"/>
  <c r="BB119" i="1"/>
  <c r="BA119" i="1"/>
  <c r="AZ119" i="1"/>
  <c r="AY119" i="1"/>
  <c r="AX119" i="1"/>
  <c r="AW119" i="1"/>
  <c r="AK119" i="1"/>
  <c r="AD119" i="1"/>
  <c r="AC119" i="1" s="1"/>
  <c r="J119" i="1" s="1"/>
  <c r="BH118" i="1"/>
  <c r="BG118" i="1"/>
  <c r="BF118" i="1"/>
  <c r="BE118" i="1"/>
  <c r="BB118" i="1"/>
  <c r="BA118" i="1"/>
  <c r="AZ118" i="1"/>
  <c r="AY118" i="1"/>
  <c r="AX118" i="1"/>
  <c r="AW118" i="1"/>
  <c r="AK118" i="1"/>
  <c r="V118" i="1"/>
  <c r="AD118" i="1" s="1"/>
  <c r="AC118" i="1" s="1"/>
  <c r="J118" i="1" s="1"/>
  <c r="BH117" i="1"/>
  <c r="BG117" i="1"/>
  <c r="BF117" i="1"/>
  <c r="BE117" i="1"/>
  <c r="BB117" i="1"/>
  <c r="BA117" i="1"/>
  <c r="AZ117" i="1"/>
  <c r="AY117" i="1"/>
  <c r="AX117" i="1"/>
  <c r="AW117" i="1"/>
  <c r="AK117" i="1"/>
  <c r="V117" i="1"/>
  <c r="BC117" i="1" s="1"/>
  <c r="BH116" i="1"/>
  <c r="BG116" i="1"/>
  <c r="BF116" i="1"/>
  <c r="BE116" i="1"/>
  <c r="BC116" i="1"/>
  <c r="BB116" i="1"/>
  <c r="BA116" i="1"/>
  <c r="AZ116" i="1"/>
  <c r="AY116" i="1"/>
  <c r="AX116" i="1"/>
  <c r="AW116" i="1"/>
  <c r="AD116" i="1"/>
  <c r="AC116" i="1" s="1"/>
  <c r="J116" i="1" s="1"/>
  <c r="M116" i="1" s="1"/>
  <c r="BH115" i="1"/>
  <c r="BG115" i="1"/>
  <c r="BF115" i="1"/>
  <c r="BE115" i="1"/>
  <c r="BC115" i="1"/>
  <c r="BB115" i="1"/>
  <c r="BA115" i="1"/>
  <c r="AZ115" i="1"/>
  <c r="AY115" i="1"/>
  <c r="AX115" i="1"/>
  <c r="AW115" i="1"/>
  <c r="AK115" i="1"/>
  <c r="AD115" i="1"/>
  <c r="AC115" i="1" s="1"/>
  <c r="J115" i="1" s="1"/>
  <c r="BH114" i="1"/>
  <c r="BG114" i="1"/>
  <c r="BF114" i="1"/>
  <c r="BE114" i="1"/>
  <c r="BB114" i="1"/>
  <c r="BA114" i="1"/>
  <c r="AZ114" i="1"/>
  <c r="AY114" i="1"/>
  <c r="AX114" i="1"/>
  <c r="AW114" i="1"/>
  <c r="AK114" i="1"/>
  <c r="V114" i="1"/>
  <c r="BC114" i="1" s="1"/>
  <c r="BH113" i="1"/>
  <c r="BG113" i="1"/>
  <c r="BF113" i="1"/>
  <c r="BE113" i="1"/>
  <c r="BB113" i="1"/>
  <c r="BA113" i="1"/>
  <c r="AZ113" i="1"/>
  <c r="AY113" i="1"/>
  <c r="AX113" i="1"/>
  <c r="AK113" i="1"/>
  <c r="V113" i="1"/>
  <c r="BC113" i="1" s="1"/>
  <c r="P113" i="1"/>
  <c r="BH112" i="1"/>
  <c r="BG112" i="1"/>
  <c r="BF112" i="1"/>
  <c r="BE112" i="1"/>
  <c r="BB112" i="1"/>
  <c r="BA112" i="1"/>
  <c r="AZ112" i="1"/>
  <c r="AY112" i="1"/>
  <c r="AX112" i="1"/>
  <c r="AW112" i="1"/>
  <c r="AK112" i="1"/>
  <c r="V112" i="1"/>
  <c r="BC112" i="1" s="1"/>
  <c r="BH111" i="1"/>
  <c r="BG111" i="1"/>
  <c r="BF111" i="1"/>
  <c r="BE111" i="1"/>
  <c r="BB111" i="1"/>
  <c r="BA111" i="1"/>
  <c r="AZ111" i="1"/>
  <c r="AY111" i="1"/>
  <c r="AX111" i="1"/>
  <c r="AW111" i="1"/>
  <c r="AK111" i="1"/>
  <c r="V111" i="1"/>
  <c r="BH110" i="1"/>
  <c r="BG110" i="1"/>
  <c r="BF110" i="1"/>
  <c r="BE110" i="1"/>
  <c r="BB110" i="1"/>
  <c r="BA110" i="1"/>
  <c r="AZ110" i="1"/>
  <c r="AY110" i="1"/>
  <c r="AX110" i="1"/>
  <c r="AW110" i="1"/>
  <c r="AK110" i="1"/>
  <c r="V110" i="1"/>
  <c r="BH109" i="1"/>
  <c r="BG109" i="1"/>
  <c r="BF109" i="1"/>
  <c r="BE109" i="1"/>
  <c r="BB109" i="1"/>
  <c r="BA109" i="1"/>
  <c r="AZ109" i="1"/>
  <c r="AY109" i="1"/>
  <c r="AX109" i="1"/>
  <c r="AW109" i="1"/>
  <c r="AK109" i="1"/>
  <c r="V109" i="1"/>
  <c r="AD109" i="1" s="1"/>
  <c r="AC109" i="1" s="1"/>
  <c r="J109" i="1" s="1"/>
  <c r="BH108" i="1"/>
  <c r="BG108" i="1"/>
  <c r="BF108" i="1"/>
  <c r="BE108" i="1"/>
  <c r="BB108" i="1"/>
  <c r="BA108" i="1"/>
  <c r="AZ108" i="1"/>
  <c r="AY108" i="1"/>
  <c r="AX108" i="1"/>
  <c r="AK108" i="1"/>
  <c r="V108" i="1"/>
  <c r="BC108" i="1" s="1"/>
  <c r="P108" i="1"/>
  <c r="BH107" i="1"/>
  <c r="BG107" i="1"/>
  <c r="BF107" i="1"/>
  <c r="BE107" i="1"/>
  <c r="BB107" i="1"/>
  <c r="BA107" i="1"/>
  <c r="AZ107" i="1"/>
  <c r="AY107" i="1"/>
  <c r="AX107" i="1"/>
  <c r="AW107" i="1"/>
  <c r="V107" i="1"/>
  <c r="AD107" i="1" s="1"/>
  <c r="AC107" i="1" s="1"/>
  <c r="J107" i="1" s="1"/>
  <c r="L107" i="1" s="1"/>
  <c r="BH106" i="1"/>
  <c r="BG106" i="1"/>
  <c r="BF106" i="1"/>
  <c r="BE106" i="1"/>
  <c r="BB106" i="1"/>
  <c r="BA106" i="1"/>
  <c r="AZ106" i="1"/>
  <c r="AY106" i="1"/>
  <c r="AX106" i="1"/>
  <c r="V106" i="1"/>
  <c r="BC106" i="1" s="1"/>
  <c r="P106" i="1"/>
  <c r="AW106" i="1" s="1"/>
  <c r="BH105" i="1"/>
  <c r="BG105" i="1"/>
  <c r="BF105" i="1"/>
  <c r="BE105" i="1"/>
  <c r="BB105" i="1"/>
  <c r="BA105" i="1"/>
  <c r="AZ105" i="1"/>
  <c r="AY105" i="1"/>
  <c r="AX105" i="1"/>
  <c r="V105" i="1"/>
  <c r="BC105" i="1" s="1"/>
  <c r="P105" i="1"/>
  <c r="BH104" i="1"/>
  <c r="BG104" i="1"/>
  <c r="BF104" i="1"/>
  <c r="BE104" i="1"/>
  <c r="BB104" i="1"/>
  <c r="BA104" i="1"/>
  <c r="AZ104" i="1"/>
  <c r="AY104" i="1"/>
  <c r="AX104" i="1"/>
  <c r="AW104" i="1"/>
  <c r="AK104" i="1"/>
  <c r="V104" i="1"/>
  <c r="AD104" i="1" s="1"/>
  <c r="AC104" i="1" s="1"/>
  <c r="J104" i="1" s="1"/>
  <c r="M104" i="1" s="1"/>
  <c r="BH103" i="1"/>
  <c r="BG103" i="1"/>
  <c r="BF103" i="1"/>
  <c r="BE103" i="1"/>
  <c r="BB103" i="1"/>
  <c r="BA103" i="1"/>
  <c r="AZ103" i="1"/>
  <c r="AY103" i="1"/>
  <c r="AX103" i="1"/>
  <c r="AW103" i="1"/>
  <c r="AK103" i="1"/>
  <c r="V103" i="1"/>
  <c r="BH102" i="1"/>
  <c r="BG102" i="1"/>
  <c r="BF102" i="1"/>
  <c r="BE102" i="1"/>
  <c r="BB102" i="1"/>
  <c r="BA102" i="1"/>
  <c r="AZ102" i="1"/>
  <c r="AY102" i="1"/>
  <c r="AX102" i="1"/>
  <c r="AW102" i="1"/>
  <c r="V102" i="1"/>
  <c r="AD102" i="1" s="1"/>
  <c r="AC102" i="1" s="1"/>
  <c r="J102" i="1" s="1"/>
  <c r="L102" i="1" s="1"/>
  <c r="BH101" i="1"/>
  <c r="BG101" i="1"/>
  <c r="BF101" i="1"/>
  <c r="BE101" i="1"/>
  <c r="BB101" i="1"/>
  <c r="BA101" i="1"/>
  <c r="AZ101" i="1"/>
  <c r="AY101" i="1"/>
  <c r="AX101" i="1"/>
  <c r="AW101" i="1"/>
  <c r="V101" i="1"/>
  <c r="BC101" i="1" s="1"/>
  <c r="BH100" i="1"/>
  <c r="BG100" i="1"/>
  <c r="BF100" i="1"/>
  <c r="BE100" i="1"/>
  <c r="BB100" i="1"/>
  <c r="BA100" i="1"/>
  <c r="AZ100" i="1"/>
  <c r="AY100" i="1"/>
  <c r="AX100" i="1"/>
  <c r="AW100" i="1"/>
  <c r="AK100" i="1"/>
  <c r="V100" i="1"/>
  <c r="BH99" i="1"/>
  <c r="BG99" i="1"/>
  <c r="BF99" i="1"/>
  <c r="BE99" i="1"/>
  <c r="BB99" i="1"/>
  <c r="BA99" i="1"/>
  <c r="AZ99" i="1"/>
  <c r="AY99" i="1"/>
  <c r="AX99" i="1"/>
  <c r="AW99" i="1"/>
  <c r="AK99" i="1"/>
  <c r="V99" i="1"/>
  <c r="BC99" i="1" s="1"/>
  <c r="BH98" i="1"/>
  <c r="BG98" i="1"/>
  <c r="BF98" i="1"/>
  <c r="BE98" i="1"/>
  <c r="BB98" i="1"/>
  <c r="BA98" i="1"/>
  <c r="AZ98" i="1"/>
  <c r="AY98" i="1"/>
  <c r="AX98" i="1"/>
  <c r="V98" i="1"/>
  <c r="BC98" i="1" s="1"/>
  <c r="P98" i="1"/>
  <c r="AW98" i="1" s="1"/>
  <c r="BH97" i="1"/>
  <c r="BG97" i="1"/>
  <c r="BF97" i="1"/>
  <c r="BE97" i="1"/>
  <c r="BB97" i="1"/>
  <c r="BA97" i="1"/>
  <c r="AZ97" i="1"/>
  <c r="AY97" i="1"/>
  <c r="AX97" i="1"/>
  <c r="V97" i="1"/>
  <c r="BC97" i="1" s="1"/>
  <c r="P97" i="1"/>
  <c r="AW97" i="1" s="1"/>
  <c r="BH96" i="1"/>
  <c r="BG96" i="1"/>
  <c r="BF96" i="1"/>
  <c r="BE96" i="1"/>
  <c r="BB96" i="1"/>
  <c r="BA96" i="1"/>
  <c r="AZ96" i="1"/>
  <c r="AY96" i="1"/>
  <c r="AX96" i="1"/>
  <c r="AW96" i="1"/>
  <c r="V96" i="1"/>
  <c r="BC96" i="1" s="1"/>
  <c r="BH95" i="1"/>
  <c r="BG95" i="1"/>
  <c r="BF95" i="1"/>
  <c r="BE95" i="1"/>
  <c r="BB95" i="1"/>
  <c r="BA95" i="1"/>
  <c r="AZ95" i="1"/>
  <c r="AY95" i="1"/>
  <c r="AX95" i="1"/>
  <c r="AW95" i="1"/>
  <c r="AK95" i="1"/>
  <c r="V95" i="1"/>
  <c r="BH94" i="1"/>
  <c r="BG94" i="1"/>
  <c r="BF94" i="1"/>
  <c r="BE94" i="1"/>
  <c r="BB94" i="1"/>
  <c r="BA94" i="1"/>
  <c r="AZ94" i="1"/>
  <c r="AY94" i="1"/>
  <c r="AX94" i="1"/>
  <c r="AW94" i="1"/>
  <c r="AK94" i="1"/>
  <c r="V94" i="1"/>
  <c r="AD94" i="1" s="1"/>
  <c r="AC94" i="1" s="1"/>
  <c r="J94" i="1" s="1"/>
  <c r="BH93" i="1"/>
  <c r="BG93" i="1"/>
  <c r="BF93" i="1"/>
  <c r="BE93" i="1"/>
  <c r="BB93" i="1"/>
  <c r="BA93" i="1"/>
  <c r="AZ93" i="1"/>
  <c r="AY93" i="1"/>
  <c r="AX93" i="1"/>
  <c r="AW93" i="1"/>
  <c r="AK93" i="1"/>
  <c r="V93" i="1"/>
  <c r="BC93" i="1" s="1"/>
  <c r="BH92" i="1"/>
  <c r="BG92" i="1"/>
  <c r="BF92" i="1"/>
  <c r="BE92" i="1"/>
  <c r="BC92" i="1"/>
  <c r="BB92" i="1"/>
  <c r="BA92" i="1"/>
  <c r="AZ92" i="1"/>
  <c r="AY92" i="1"/>
  <c r="AX92" i="1"/>
  <c r="AW92" i="1"/>
  <c r="AK92" i="1"/>
  <c r="AD92" i="1"/>
  <c r="AC92" i="1" s="1"/>
  <c r="J92" i="1" s="1"/>
  <c r="BH91" i="1"/>
  <c r="BG91" i="1"/>
  <c r="BF91" i="1"/>
  <c r="BE91" i="1"/>
  <c r="BC91" i="1"/>
  <c r="BB91" i="1"/>
  <c r="BA91" i="1"/>
  <c r="AZ91" i="1"/>
  <c r="AY91" i="1"/>
  <c r="AX91" i="1"/>
  <c r="AW91" i="1"/>
  <c r="AK91" i="1"/>
  <c r="AD91" i="1"/>
  <c r="AC91" i="1" s="1"/>
  <c r="J91" i="1" s="1"/>
  <c r="BH90" i="1"/>
  <c r="BG90" i="1"/>
  <c r="BF90" i="1"/>
  <c r="BE90" i="1"/>
  <c r="BC90" i="1"/>
  <c r="BB90" i="1"/>
  <c r="BA90" i="1"/>
  <c r="AZ90" i="1"/>
  <c r="AY90" i="1"/>
  <c r="AX90" i="1"/>
  <c r="AW90" i="1"/>
  <c r="AK90" i="1"/>
  <c r="AD90" i="1"/>
  <c r="AC90" i="1" s="1"/>
  <c r="J90" i="1" s="1"/>
  <c r="BH89" i="1"/>
  <c r="BG89" i="1"/>
  <c r="BF89" i="1"/>
  <c r="BE89" i="1"/>
  <c r="BC89" i="1"/>
  <c r="BB89" i="1"/>
  <c r="BA89" i="1"/>
  <c r="AZ89" i="1"/>
  <c r="AY89" i="1"/>
  <c r="AX89" i="1"/>
  <c r="AW89" i="1"/>
  <c r="AK89" i="1"/>
  <c r="AD89" i="1"/>
  <c r="AC89" i="1" s="1"/>
  <c r="J89" i="1" s="1"/>
  <c r="BH88" i="1"/>
  <c r="BG88" i="1"/>
  <c r="BF88" i="1"/>
  <c r="BE88" i="1"/>
  <c r="BC88" i="1"/>
  <c r="BB88" i="1"/>
  <c r="BA88" i="1"/>
  <c r="AZ88" i="1"/>
  <c r="AY88" i="1"/>
  <c r="AX88" i="1"/>
  <c r="AW88" i="1"/>
  <c r="AK88" i="1"/>
  <c r="AD88" i="1"/>
  <c r="AC88" i="1" s="1"/>
  <c r="J88" i="1" s="1"/>
  <c r="BH87" i="1"/>
  <c r="BG87" i="1"/>
  <c r="BF87" i="1"/>
  <c r="BE87" i="1"/>
  <c r="BC87" i="1"/>
  <c r="BB87" i="1"/>
  <c r="BA87" i="1"/>
  <c r="AZ87" i="1"/>
  <c r="AY87" i="1"/>
  <c r="AX87" i="1"/>
  <c r="AW87" i="1"/>
  <c r="AD87" i="1"/>
  <c r="AC87" i="1" s="1"/>
  <c r="J87" i="1" s="1"/>
  <c r="BH86" i="1"/>
  <c r="BG86" i="1"/>
  <c r="BF86" i="1"/>
  <c r="BE86" i="1"/>
  <c r="BC86" i="1"/>
  <c r="BB86" i="1"/>
  <c r="BA86" i="1"/>
  <c r="AZ86" i="1"/>
  <c r="AY86" i="1"/>
  <c r="AX86" i="1"/>
  <c r="AW86" i="1"/>
  <c r="AD86" i="1"/>
  <c r="AC86" i="1" s="1"/>
  <c r="J86" i="1" s="1"/>
  <c r="BH85" i="1"/>
  <c r="BG85" i="1"/>
  <c r="BF85" i="1"/>
  <c r="BE85" i="1"/>
  <c r="BC85" i="1"/>
  <c r="BB85" i="1"/>
  <c r="BA85" i="1"/>
  <c r="AZ85" i="1"/>
  <c r="AY85" i="1"/>
  <c r="AX85" i="1"/>
  <c r="AW85" i="1"/>
  <c r="AK85" i="1"/>
  <c r="AD85" i="1"/>
  <c r="AC85" i="1" s="1"/>
  <c r="J85" i="1" s="1"/>
  <c r="BH84" i="1"/>
  <c r="BG84" i="1"/>
  <c r="BF84" i="1"/>
  <c r="BE84" i="1"/>
  <c r="BB84" i="1"/>
  <c r="BA84" i="1"/>
  <c r="AZ84" i="1"/>
  <c r="AY84" i="1"/>
  <c r="AX84" i="1"/>
  <c r="AW84" i="1"/>
  <c r="AK84" i="1"/>
  <c r="V84" i="1"/>
  <c r="AD84" i="1" s="1"/>
  <c r="AC84" i="1" s="1"/>
  <c r="J84" i="1" s="1"/>
  <c r="BH83" i="1"/>
  <c r="BG83" i="1"/>
  <c r="BF83" i="1"/>
  <c r="BE83" i="1"/>
  <c r="BB83" i="1"/>
  <c r="BA83" i="1"/>
  <c r="AZ83" i="1"/>
  <c r="AY83" i="1"/>
  <c r="AX83" i="1"/>
  <c r="AW83" i="1"/>
  <c r="AK83" i="1"/>
  <c r="V83" i="1"/>
  <c r="AD83" i="1" s="1"/>
  <c r="AC83" i="1" s="1"/>
  <c r="J83" i="1" s="1"/>
  <c r="BH82" i="1"/>
  <c r="BG82" i="1"/>
  <c r="BF82" i="1"/>
  <c r="BE82" i="1"/>
  <c r="BB82" i="1"/>
  <c r="BA82" i="1"/>
  <c r="AZ82" i="1"/>
  <c r="AY82" i="1"/>
  <c r="AX82" i="1"/>
  <c r="AW82" i="1"/>
  <c r="AK82" i="1"/>
  <c r="V82" i="1"/>
  <c r="BH81" i="1"/>
  <c r="BG81" i="1"/>
  <c r="BF81" i="1"/>
  <c r="BE81" i="1"/>
  <c r="BB81" i="1"/>
  <c r="BA81" i="1"/>
  <c r="AZ81" i="1"/>
  <c r="AY81" i="1"/>
  <c r="AX81" i="1"/>
  <c r="AW81" i="1"/>
  <c r="V81" i="1"/>
  <c r="BC81" i="1" s="1"/>
  <c r="BH80" i="1"/>
  <c r="BG80" i="1"/>
  <c r="BF80" i="1"/>
  <c r="BE80" i="1"/>
  <c r="BC80" i="1"/>
  <c r="BB80" i="1"/>
  <c r="BA80" i="1"/>
  <c r="AZ80" i="1"/>
  <c r="AY80" i="1"/>
  <c r="AX80" i="1"/>
  <c r="AW80" i="1"/>
  <c r="AD80" i="1"/>
  <c r="AC80" i="1" s="1"/>
  <c r="J80" i="1" s="1"/>
  <c r="BH79" i="1"/>
  <c r="BG79" i="1"/>
  <c r="BF79" i="1"/>
  <c r="BE79" i="1"/>
  <c r="BC79" i="1"/>
  <c r="BB79" i="1"/>
  <c r="BA79" i="1"/>
  <c r="AZ79" i="1"/>
  <c r="AY79" i="1"/>
  <c r="AX79" i="1"/>
  <c r="AW79" i="1"/>
  <c r="AD79" i="1"/>
  <c r="AC79" i="1" s="1"/>
  <c r="J79" i="1" s="1"/>
  <c r="BH78" i="1"/>
  <c r="BG78" i="1"/>
  <c r="BF78" i="1"/>
  <c r="BE78" i="1"/>
  <c r="BB78" i="1"/>
  <c r="BA78" i="1"/>
  <c r="AZ78" i="1"/>
  <c r="AY78" i="1"/>
  <c r="AX78" i="1"/>
  <c r="AW78" i="1"/>
  <c r="V78" i="1"/>
  <c r="BH77" i="1"/>
  <c r="BG77" i="1"/>
  <c r="BF77" i="1"/>
  <c r="BE77" i="1"/>
  <c r="BB77" i="1"/>
  <c r="BA77" i="1"/>
  <c r="AZ77" i="1"/>
  <c r="AY77" i="1"/>
  <c r="AX77" i="1"/>
  <c r="AW77" i="1"/>
  <c r="AK77" i="1"/>
  <c r="V77" i="1"/>
  <c r="BC77" i="1" s="1"/>
  <c r="BH76" i="1"/>
  <c r="BG76" i="1"/>
  <c r="BF76" i="1"/>
  <c r="BE76" i="1"/>
  <c r="BB76" i="1"/>
  <c r="BA76" i="1"/>
  <c r="AZ76" i="1"/>
  <c r="AY76" i="1"/>
  <c r="AX76" i="1"/>
  <c r="AW76" i="1"/>
  <c r="AK76" i="1"/>
  <c r="V76" i="1"/>
  <c r="AD76" i="1" s="1"/>
  <c r="AC76" i="1" s="1"/>
  <c r="J76" i="1" s="1"/>
  <c r="M76" i="1" s="1"/>
  <c r="BH75" i="1"/>
  <c r="BG75" i="1"/>
  <c r="BF75" i="1"/>
  <c r="BE75" i="1"/>
  <c r="BB75" i="1"/>
  <c r="BA75" i="1"/>
  <c r="AZ75" i="1"/>
  <c r="AY75" i="1"/>
  <c r="AX75" i="1"/>
  <c r="AW75" i="1"/>
  <c r="AK75" i="1"/>
  <c r="V75" i="1"/>
  <c r="AD75" i="1" s="1"/>
  <c r="AC75" i="1" s="1"/>
  <c r="J75" i="1" s="1"/>
  <c r="M75" i="1" s="1"/>
  <c r="BH74" i="1"/>
  <c r="BG74" i="1"/>
  <c r="BF74" i="1"/>
  <c r="BE74" i="1"/>
  <c r="BB74" i="1"/>
  <c r="BA74" i="1"/>
  <c r="AZ74" i="1"/>
  <c r="AY74" i="1"/>
  <c r="AX74" i="1"/>
  <c r="AW74" i="1"/>
  <c r="AK74" i="1"/>
  <c r="V74" i="1"/>
  <c r="BH73" i="1"/>
  <c r="BG73" i="1"/>
  <c r="BF73" i="1"/>
  <c r="BE73" i="1"/>
  <c r="BB73" i="1"/>
  <c r="BA73" i="1"/>
  <c r="AZ73" i="1"/>
  <c r="AY73" i="1"/>
  <c r="AX73" i="1"/>
  <c r="AW73" i="1"/>
  <c r="V73" i="1"/>
  <c r="BH72" i="1"/>
  <c r="BG72" i="1"/>
  <c r="BF72" i="1"/>
  <c r="BE72" i="1"/>
  <c r="BB72" i="1"/>
  <c r="BA72" i="1"/>
  <c r="AZ72" i="1"/>
  <c r="AY72" i="1"/>
  <c r="AX72" i="1"/>
  <c r="AW72" i="1"/>
  <c r="V72" i="1"/>
  <c r="BH71" i="1"/>
  <c r="BG71" i="1"/>
  <c r="BF71" i="1"/>
  <c r="BE71" i="1"/>
  <c r="BB71" i="1"/>
  <c r="BA71" i="1"/>
  <c r="AZ71" i="1"/>
  <c r="AY71" i="1"/>
  <c r="AX71" i="1"/>
  <c r="AW71" i="1"/>
  <c r="V71" i="1"/>
  <c r="BH70" i="1"/>
  <c r="BG70" i="1"/>
  <c r="BF70" i="1"/>
  <c r="BE70" i="1"/>
  <c r="BB70" i="1"/>
  <c r="BA70" i="1"/>
  <c r="AZ70" i="1"/>
  <c r="AY70" i="1"/>
  <c r="AX70" i="1"/>
  <c r="AW70" i="1"/>
  <c r="AK70" i="1"/>
  <c r="V70" i="1"/>
  <c r="BC70" i="1" s="1"/>
  <c r="BH69" i="1"/>
  <c r="BG69" i="1"/>
  <c r="BF69" i="1"/>
  <c r="BE69" i="1"/>
  <c r="BB69" i="1"/>
  <c r="BA69" i="1"/>
  <c r="AZ69" i="1"/>
  <c r="AY69" i="1"/>
  <c r="AX69" i="1"/>
  <c r="AK69" i="1"/>
  <c r="V69" i="1"/>
  <c r="BC69" i="1" s="1"/>
  <c r="P69" i="1"/>
  <c r="BH68" i="1"/>
  <c r="BG68" i="1"/>
  <c r="BF68" i="1"/>
  <c r="BE68" i="1"/>
  <c r="BB68" i="1"/>
  <c r="BA68" i="1"/>
  <c r="AZ68" i="1"/>
  <c r="AY68" i="1"/>
  <c r="AX68" i="1"/>
  <c r="AW68" i="1"/>
  <c r="AK68" i="1"/>
  <c r="V68" i="1"/>
  <c r="AD68" i="1" s="1"/>
  <c r="AC68" i="1" s="1"/>
  <c r="J68" i="1" s="1"/>
  <c r="BH67" i="1"/>
  <c r="BG67" i="1"/>
  <c r="BF67" i="1"/>
  <c r="BE67" i="1"/>
  <c r="BC67" i="1"/>
  <c r="BB67" i="1"/>
  <c r="BA67" i="1"/>
  <c r="AZ67" i="1"/>
  <c r="AY67" i="1"/>
  <c r="AX67" i="1"/>
  <c r="AW67" i="1"/>
  <c r="AK67" i="1"/>
  <c r="AD67" i="1"/>
  <c r="AC67" i="1" s="1"/>
  <c r="J67" i="1" s="1"/>
  <c r="M67" i="1" s="1"/>
  <c r="BH66" i="1"/>
  <c r="BG66" i="1"/>
  <c r="BF66" i="1"/>
  <c r="BE66" i="1"/>
  <c r="BC66" i="1"/>
  <c r="BB66" i="1"/>
  <c r="BA66" i="1"/>
  <c r="AZ66" i="1"/>
  <c r="AY66" i="1"/>
  <c r="AX66" i="1"/>
  <c r="AW66" i="1"/>
  <c r="AK66" i="1"/>
  <c r="AD66" i="1"/>
  <c r="AC66" i="1" s="1"/>
  <c r="J66" i="1" s="1"/>
  <c r="BH65" i="1"/>
  <c r="BG65" i="1"/>
  <c r="BF65" i="1"/>
  <c r="BE65" i="1"/>
  <c r="BB65" i="1"/>
  <c r="BA65" i="1"/>
  <c r="AZ65" i="1"/>
  <c r="AY65" i="1"/>
  <c r="AX65" i="1"/>
  <c r="AW65" i="1"/>
  <c r="AK65" i="1"/>
  <c r="V65" i="1"/>
  <c r="AD65" i="1" s="1"/>
  <c r="AC65" i="1" s="1"/>
  <c r="J65" i="1" s="1"/>
  <c r="BH64" i="1"/>
  <c r="BG64" i="1"/>
  <c r="BF64" i="1"/>
  <c r="BE64" i="1"/>
  <c r="BB64" i="1"/>
  <c r="BA64" i="1"/>
  <c r="AZ64" i="1"/>
  <c r="AY64" i="1"/>
  <c r="AX64" i="1"/>
  <c r="AW64" i="1"/>
  <c r="V64" i="1"/>
  <c r="BC64" i="1" s="1"/>
  <c r="BH63" i="1"/>
  <c r="BG63" i="1"/>
  <c r="BF63" i="1"/>
  <c r="BE63" i="1"/>
  <c r="BC63" i="1"/>
  <c r="BB63" i="1"/>
  <c r="BA63" i="1"/>
  <c r="AZ63" i="1"/>
  <c r="AY63" i="1"/>
  <c r="AX63" i="1"/>
  <c r="AW63" i="1"/>
  <c r="AD63" i="1"/>
  <c r="AC63" i="1" s="1"/>
  <c r="J63" i="1" s="1"/>
  <c r="BH62" i="1"/>
  <c r="BG62" i="1"/>
  <c r="BF62" i="1"/>
  <c r="BE62" i="1"/>
  <c r="BC62" i="1"/>
  <c r="BB62" i="1"/>
  <c r="BA62" i="1"/>
  <c r="AZ62" i="1"/>
  <c r="AY62" i="1"/>
  <c r="AX62" i="1"/>
  <c r="AW62" i="1"/>
  <c r="AD62" i="1"/>
  <c r="AC62" i="1" s="1"/>
  <c r="J62" i="1" s="1"/>
  <c r="BH61" i="1"/>
  <c r="BG61" i="1"/>
  <c r="BF61" i="1"/>
  <c r="BE61" i="1"/>
  <c r="BB61" i="1"/>
  <c r="BA61" i="1"/>
  <c r="AZ61" i="1"/>
  <c r="AY61" i="1"/>
  <c r="AX61" i="1"/>
  <c r="AW61" i="1"/>
  <c r="AK61" i="1"/>
  <c r="V61" i="1"/>
  <c r="AD61" i="1" s="1"/>
  <c r="AC61" i="1" s="1"/>
  <c r="J61" i="1" s="1"/>
  <c r="BH60" i="1"/>
  <c r="BG60" i="1"/>
  <c r="BF60" i="1"/>
  <c r="BE60" i="1"/>
  <c r="BB60" i="1"/>
  <c r="BA60" i="1"/>
  <c r="AZ60" i="1"/>
  <c r="AY60" i="1"/>
  <c r="AX60" i="1"/>
  <c r="AW60" i="1"/>
  <c r="AK60" i="1"/>
  <c r="V60" i="1"/>
  <c r="BC60" i="1" s="1"/>
  <c r="BH59" i="1"/>
  <c r="BG59" i="1"/>
  <c r="BF59" i="1"/>
  <c r="BE59" i="1"/>
  <c r="BB59" i="1"/>
  <c r="BA59" i="1"/>
  <c r="AZ59" i="1"/>
  <c r="AY59" i="1"/>
  <c r="AX59" i="1"/>
  <c r="AW59" i="1"/>
  <c r="AK59" i="1"/>
  <c r="V59" i="1"/>
  <c r="AD59" i="1" s="1"/>
  <c r="AC59" i="1" s="1"/>
  <c r="J59" i="1" s="1"/>
  <c r="BH58" i="1"/>
  <c r="BG58" i="1"/>
  <c r="BF58" i="1"/>
  <c r="BE58" i="1"/>
  <c r="BB58" i="1"/>
  <c r="BA58" i="1"/>
  <c r="AZ58" i="1"/>
  <c r="AY58" i="1"/>
  <c r="AX58" i="1"/>
  <c r="AW58" i="1"/>
  <c r="AK58" i="1"/>
  <c r="V58" i="1"/>
  <c r="BH57" i="1"/>
  <c r="BG57" i="1"/>
  <c r="BF57" i="1"/>
  <c r="BE57" i="1"/>
  <c r="BB57" i="1"/>
  <c r="BA57" i="1"/>
  <c r="AZ57" i="1"/>
  <c r="AY57" i="1"/>
  <c r="AX57" i="1"/>
  <c r="AW57" i="1"/>
  <c r="AK57" i="1"/>
  <c r="V57" i="1"/>
  <c r="BH56" i="1"/>
  <c r="BG56" i="1"/>
  <c r="BF56" i="1"/>
  <c r="BE56" i="1"/>
  <c r="BB56" i="1"/>
  <c r="BA56" i="1"/>
  <c r="AZ56" i="1"/>
  <c r="AY56" i="1"/>
  <c r="AX56" i="1"/>
  <c r="AW56" i="1"/>
  <c r="V56" i="1"/>
  <c r="BH55" i="1"/>
  <c r="BG55" i="1"/>
  <c r="BF55" i="1"/>
  <c r="BE55" i="1"/>
  <c r="BC55" i="1"/>
  <c r="BB55" i="1"/>
  <c r="BA55" i="1"/>
  <c r="AZ55" i="1"/>
  <c r="AY55" i="1"/>
  <c r="AX55" i="1"/>
  <c r="AW55" i="1"/>
  <c r="AK55" i="1"/>
  <c r="AD55" i="1"/>
  <c r="AC55" i="1" s="1"/>
  <c r="J55" i="1" s="1"/>
  <c r="BH54" i="1"/>
  <c r="BG54" i="1"/>
  <c r="BF54" i="1"/>
  <c r="BE54" i="1"/>
  <c r="BC54" i="1"/>
  <c r="BB54" i="1"/>
  <c r="BA54" i="1"/>
  <c r="AZ54" i="1"/>
  <c r="AY54" i="1"/>
  <c r="AX54" i="1"/>
  <c r="AW54" i="1"/>
  <c r="AK54" i="1"/>
  <c r="AD54" i="1"/>
  <c r="AC54" i="1" s="1"/>
  <c r="J54" i="1" s="1"/>
  <c r="L54" i="1" s="1"/>
  <c r="BH53" i="1"/>
  <c r="BG53" i="1"/>
  <c r="BF53" i="1"/>
  <c r="BE53" i="1"/>
  <c r="BB53" i="1"/>
  <c r="BA53" i="1"/>
  <c r="AZ53" i="1"/>
  <c r="AY53" i="1"/>
  <c r="AX53" i="1"/>
  <c r="AW53" i="1"/>
  <c r="AK53" i="1"/>
  <c r="V53" i="1"/>
  <c r="BC53" i="1" s="1"/>
  <c r="BH52" i="1"/>
  <c r="BG52" i="1"/>
  <c r="BF52" i="1"/>
  <c r="BE52" i="1"/>
  <c r="BB52" i="1"/>
  <c r="BA52" i="1"/>
  <c r="AZ52" i="1"/>
  <c r="AY52" i="1"/>
  <c r="AX52" i="1"/>
  <c r="AW52" i="1"/>
  <c r="AK52" i="1"/>
  <c r="V52" i="1"/>
  <c r="AD52" i="1" s="1"/>
  <c r="AC52" i="1" s="1"/>
  <c r="J52" i="1" s="1"/>
  <c r="M52" i="1" s="1"/>
  <c r="BH51" i="1"/>
  <c r="BG51" i="1"/>
  <c r="BF51" i="1"/>
  <c r="BE51" i="1"/>
  <c r="BC51" i="1"/>
  <c r="BB51" i="1"/>
  <c r="BA51" i="1"/>
  <c r="AZ51" i="1"/>
  <c r="AY51" i="1"/>
  <c r="AX51" i="1"/>
  <c r="AW51" i="1"/>
  <c r="AK51" i="1"/>
  <c r="AD51" i="1"/>
  <c r="AC51" i="1" s="1"/>
  <c r="J51" i="1" s="1"/>
  <c r="L51" i="1" s="1"/>
  <c r="BH50" i="1"/>
  <c r="BG50" i="1"/>
  <c r="BF50" i="1"/>
  <c r="BE50" i="1"/>
  <c r="BC50" i="1"/>
  <c r="BB50" i="1"/>
  <c r="BA50" i="1"/>
  <c r="AZ50" i="1"/>
  <c r="AY50" i="1"/>
  <c r="AX50" i="1"/>
  <c r="AW50" i="1"/>
  <c r="AD50" i="1"/>
  <c r="AC50" i="1" s="1"/>
  <c r="J50" i="1" s="1"/>
  <c r="M50" i="1" s="1"/>
  <c r="BH49" i="1"/>
  <c r="BG49" i="1"/>
  <c r="BF49" i="1"/>
  <c r="BE49" i="1"/>
  <c r="BB49" i="1"/>
  <c r="BA49" i="1"/>
  <c r="AZ49" i="1"/>
  <c r="AY49" i="1"/>
  <c r="AX49" i="1"/>
  <c r="AW49" i="1"/>
  <c r="AK49" i="1"/>
  <c r="V49" i="1"/>
  <c r="BH48" i="1"/>
  <c r="BG48" i="1"/>
  <c r="BF48" i="1"/>
  <c r="BE48" i="1"/>
  <c r="BB48" i="1"/>
  <c r="BA48" i="1"/>
  <c r="AZ48" i="1"/>
  <c r="AY48" i="1"/>
  <c r="AX48" i="1"/>
  <c r="AW48" i="1"/>
  <c r="AK48" i="1"/>
  <c r="V48" i="1"/>
  <c r="AD48" i="1" s="1"/>
  <c r="AC48" i="1" s="1"/>
  <c r="J48" i="1" s="1"/>
  <c r="BH47" i="1"/>
  <c r="BG47" i="1"/>
  <c r="BF47" i="1"/>
  <c r="BE47" i="1"/>
  <c r="BC47" i="1"/>
  <c r="BB47" i="1"/>
  <c r="BA47" i="1"/>
  <c r="AZ47" i="1"/>
  <c r="AY47" i="1"/>
  <c r="AX47" i="1"/>
  <c r="AW47" i="1"/>
  <c r="AK47" i="1"/>
  <c r="AD47" i="1"/>
  <c r="AC47" i="1" s="1"/>
  <c r="J47" i="1" s="1"/>
  <c r="BH46" i="1"/>
  <c r="BG46" i="1"/>
  <c r="BF46" i="1"/>
  <c r="BE46" i="1"/>
  <c r="BC46" i="1"/>
  <c r="BB46" i="1"/>
  <c r="BA46" i="1"/>
  <c r="AZ46" i="1"/>
  <c r="AY46" i="1"/>
  <c r="AX46" i="1"/>
  <c r="AW46" i="1"/>
  <c r="AK46" i="1"/>
  <c r="AD46" i="1"/>
  <c r="AC46" i="1" s="1"/>
  <c r="J46" i="1" s="1"/>
  <c r="BH45" i="1"/>
  <c r="BG45" i="1"/>
  <c r="BF45" i="1"/>
  <c r="BE45" i="1"/>
  <c r="BC45" i="1"/>
  <c r="BB45" i="1"/>
  <c r="BA45" i="1"/>
  <c r="AZ45" i="1"/>
  <c r="AY45" i="1"/>
  <c r="AX45" i="1"/>
  <c r="AW45" i="1"/>
  <c r="AD45" i="1"/>
  <c r="AC45" i="1" s="1"/>
  <c r="J45" i="1" s="1"/>
  <c r="L45" i="1" s="1"/>
  <c r="BH44" i="1"/>
  <c r="BG44" i="1"/>
  <c r="BF44" i="1"/>
  <c r="BE44" i="1"/>
  <c r="BC44" i="1"/>
  <c r="BB44" i="1"/>
  <c r="BA44" i="1"/>
  <c r="AZ44" i="1"/>
  <c r="AY44" i="1"/>
  <c r="AX44" i="1"/>
  <c r="AW44" i="1"/>
  <c r="AD44" i="1"/>
  <c r="AC44" i="1" s="1"/>
  <c r="J44" i="1" s="1"/>
  <c r="BH43" i="1"/>
  <c r="BG43" i="1"/>
  <c r="BF43" i="1"/>
  <c r="BE43" i="1"/>
  <c r="BC43" i="1"/>
  <c r="BB43" i="1"/>
  <c r="BA43" i="1"/>
  <c r="AZ43" i="1"/>
  <c r="AY43" i="1"/>
  <c r="AX43" i="1"/>
  <c r="AW43" i="1"/>
  <c r="AD43" i="1"/>
  <c r="AC43" i="1" s="1"/>
  <c r="J43" i="1" s="1"/>
  <c r="M43" i="1" s="1"/>
  <c r="BH42" i="1"/>
  <c r="BG42" i="1"/>
  <c r="BF42" i="1"/>
  <c r="BE42" i="1"/>
  <c r="BC42" i="1"/>
  <c r="BB42" i="1"/>
  <c r="BA42" i="1"/>
  <c r="AZ42" i="1"/>
  <c r="AY42" i="1"/>
  <c r="AX42" i="1"/>
  <c r="AW42" i="1"/>
  <c r="AK42" i="1"/>
  <c r="AD42" i="1"/>
  <c r="AC42" i="1" s="1"/>
  <c r="J42" i="1" s="1"/>
  <c r="BH41" i="1"/>
  <c r="BG41" i="1"/>
  <c r="BF41" i="1"/>
  <c r="BE41" i="1"/>
  <c r="BC41" i="1"/>
  <c r="BB41" i="1"/>
  <c r="BA41" i="1"/>
  <c r="AZ41" i="1"/>
  <c r="AY41" i="1"/>
  <c r="AX41" i="1"/>
  <c r="AW41" i="1"/>
  <c r="AK41" i="1"/>
  <c r="AD41" i="1"/>
  <c r="AC41" i="1" s="1"/>
  <c r="J41" i="1" s="1"/>
  <c r="BH40" i="1"/>
  <c r="BG40" i="1"/>
  <c r="BF40" i="1"/>
  <c r="BE40" i="1"/>
  <c r="BC40" i="1"/>
  <c r="BB40" i="1"/>
  <c r="BA40" i="1"/>
  <c r="AZ40" i="1"/>
  <c r="AY40" i="1"/>
  <c r="AX40" i="1"/>
  <c r="AW40" i="1"/>
  <c r="AK40" i="1"/>
  <c r="AD40" i="1"/>
  <c r="AC40" i="1" s="1"/>
  <c r="J40" i="1" s="1"/>
  <c r="BH39" i="1"/>
  <c r="BG39" i="1"/>
  <c r="BF39" i="1"/>
  <c r="BE39" i="1"/>
  <c r="BB39" i="1"/>
  <c r="BA39" i="1"/>
  <c r="AZ39" i="1"/>
  <c r="AY39" i="1"/>
  <c r="AX39" i="1"/>
  <c r="AW39" i="1"/>
  <c r="V39" i="1"/>
  <c r="AD39" i="1" s="1"/>
  <c r="AC39" i="1" s="1"/>
  <c r="J39" i="1" s="1"/>
  <c r="BH38" i="1"/>
  <c r="BG38" i="1"/>
  <c r="BF38" i="1"/>
  <c r="BE38" i="1"/>
  <c r="BB38" i="1"/>
  <c r="BA38" i="1"/>
  <c r="AZ38" i="1"/>
  <c r="AY38" i="1"/>
  <c r="AX38" i="1"/>
  <c r="AW38" i="1"/>
  <c r="V38" i="1"/>
  <c r="BC38" i="1" s="1"/>
  <c r="BH37" i="1"/>
  <c r="BG37" i="1"/>
  <c r="BF37" i="1"/>
  <c r="BE37" i="1"/>
  <c r="BB37" i="1"/>
  <c r="BA37" i="1"/>
  <c r="AZ37" i="1"/>
  <c r="AY37" i="1"/>
  <c r="AX37" i="1"/>
  <c r="AW37" i="1"/>
  <c r="AK37" i="1"/>
  <c r="V37" i="1"/>
  <c r="AD37" i="1" s="1"/>
  <c r="AC37" i="1" s="1"/>
  <c r="J37" i="1" s="1"/>
  <c r="M37" i="1" s="1"/>
  <c r="BH36" i="1"/>
  <c r="BG36" i="1"/>
  <c r="BF36" i="1"/>
  <c r="BE36" i="1"/>
  <c r="BB36" i="1"/>
  <c r="BA36" i="1"/>
  <c r="AZ36" i="1"/>
  <c r="AY36" i="1"/>
  <c r="AX36" i="1"/>
  <c r="AW36" i="1"/>
  <c r="AK36" i="1"/>
  <c r="V36" i="1"/>
  <c r="BC36" i="1" s="1"/>
  <c r="BH35" i="1"/>
  <c r="BG35" i="1"/>
  <c r="BF35" i="1"/>
  <c r="BE35" i="1"/>
  <c r="BB35" i="1"/>
  <c r="BA35" i="1"/>
  <c r="AZ35" i="1"/>
  <c r="AY35" i="1"/>
  <c r="AX35" i="1"/>
  <c r="AW35" i="1"/>
  <c r="V35" i="1"/>
  <c r="BH34" i="1"/>
  <c r="BG34" i="1"/>
  <c r="BF34" i="1"/>
  <c r="BE34" i="1"/>
  <c r="BC34" i="1"/>
  <c r="BB34" i="1"/>
  <c r="BA34" i="1"/>
  <c r="AZ34" i="1"/>
  <c r="AY34" i="1"/>
  <c r="AX34" i="1"/>
  <c r="AW34" i="1"/>
  <c r="AD34" i="1"/>
  <c r="AC34" i="1" s="1"/>
  <c r="J34" i="1" s="1"/>
  <c r="M34" i="1" s="1"/>
  <c r="BH33" i="1"/>
  <c r="BG33" i="1"/>
  <c r="BF33" i="1"/>
  <c r="BE33" i="1"/>
  <c r="BC33" i="1"/>
  <c r="BB33" i="1"/>
  <c r="BA33" i="1"/>
  <c r="AZ33" i="1"/>
  <c r="AY33" i="1"/>
  <c r="AX33" i="1"/>
  <c r="AW33" i="1"/>
  <c r="AD33" i="1"/>
  <c r="AC33" i="1" s="1"/>
  <c r="J33" i="1" s="1"/>
  <c r="BH32" i="1"/>
  <c r="BG32" i="1"/>
  <c r="BF32" i="1"/>
  <c r="BE32" i="1"/>
  <c r="BB32" i="1"/>
  <c r="BA32" i="1"/>
  <c r="AZ32" i="1"/>
  <c r="AY32" i="1"/>
  <c r="AX32" i="1"/>
  <c r="AW32" i="1"/>
  <c r="AK32" i="1"/>
  <c r="V32" i="1"/>
  <c r="BC32" i="1" s="1"/>
  <c r="BH31" i="1"/>
  <c r="BG31" i="1"/>
  <c r="BF31" i="1"/>
  <c r="BE31" i="1"/>
  <c r="BB31" i="1"/>
  <c r="BA31" i="1"/>
  <c r="AZ31" i="1"/>
  <c r="AY31" i="1"/>
  <c r="AX31" i="1"/>
  <c r="AW31" i="1"/>
  <c r="AK31" i="1"/>
  <c r="V31" i="1"/>
  <c r="AD31" i="1" s="1"/>
  <c r="AC31" i="1" s="1"/>
  <c r="J31" i="1" s="1"/>
  <c r="BH30" i="1"/>
  <c r="BG30" i="1"/>
  <c r="BF30" i="1"/>
  <c r="BE30" i="1"/>
  <c r="BB30" i="1"/>
  <c r="BA30" i="1"/>
  <c r="AZ30" i="1"/>
  <c r="AY30" i="1"/>
  <c r="AX30" i="1"/>
  <c r="AW30" i="1"/>
  <c r="V30" i="1"/>
  <c r="BC30" i="1" s="1"/>
  <c r="BH29" i="1"/>
  <c r="BG29" i="1"/>
  <c r="BF29" i="1"/>
  <c r="BE29" i="1"/>
  <c r="BB29" i="1"/>
  <c r="BA29" i="1"/>
  <c r="AZ29" i="1"/>
  <c r="AY29" i="1"/>
  <c r="AX29" i="1"/>
  <c r="V29" i="1"/>
  <c r="BC29" i="1" s="1"/>
  <c r="P29" i="1"/>
  <c r="BG28" i="1"/>
  <c r="BE28" i="1"/>
  <c r="BB28" i="1"/>
  <c r="BA28" i="1"/>
  <c r="AX28" i="1"/>
  <c r="AW28" i="1"/>
  <c r="AA28" i="1"/>
  <c r="Z28" i="1"/>
  <c r="BH28" i="1" s="1"/>
  <c r="Y28" i="1"/>
  <c r="BF28" i="1" s="1"/>
  <c r="W28" i="1"/>
  <c r="V28" i="1"/>
  <c r="BC28" i="1" s="1"/>
  <c r="S28" i="1"/>
  <c r="AZ28" i="1" s="1"/>
  <c r="R28" i="1"/>
  <c r="BH27" i="1"/>
  <c r="BG27" i="1"/>
  <c r="BF27" i="1"/>
  <c r="BE27" i="1"/>
  <c r="BC27" i="1"/>
  <c r="BB27" i="1"/>
  <c r="BA27" i="1"/>
  <c r="AZ27" i="1"/>
  <c r="AY27" i="1"/>
  <c r="AX27" i="1"/>
  <c r="AW27" i="1"/>
  <c r="AK27" i="1"/>
  <c r="AD27" i="1"/>
  <c r="AC27" i="1" s="1"/>
  <c r="J27" i="1" s="1"/>
  <c r="BH26" i="1"/>
  <c r="BG26" i="1"/>
  <c r="BF26" i="1"/>
  <c r="BE26" i="1"/>
  <c r="BB26" i="1"/>
  <c r="BA26" i="1"/>
  <c r="AZ26" i="1"/>
  <c r="AY26" i="1"/>
  <c r="AX26" i="1"/>
  <c r="V26" i="1"/>
  <c r="BC26" i="1" s="1"/>
  <c r="P26" i="1"/>
  <c r="BH25" i="1"/>
  <c r="BG25" i="1"/>
  <c r="BF25" i="1"/>
  <c r="BE25" i="1"/>
  <c r="BB25" i="1"/>
  <c r="BA25" i="1"/>
  <c r="AZ25" i="1"/>
  <c r="AY25" i="1"/>
  <c r="AX25" i="1"/>
  <c r="AW25" i="1"/>
  <c r="AK25" i="1"/>
  <c r="V25" i="1"/>
  <c r="BC25" i="1" s="1"/>
  <c r="BH24" i="1"/>
  <c r="BG24" i="1"/>
  <c r="BF24" i="1"/>
  <c r="BE24" i="1"/>
  <c r="BC24" i="1"/>
  <c r="BB24" i="1"/>
  <c r="BA24" i="1"/>
  <c r="AZ24" i="1"/>
  <c r="AY24" i="1"/>
  <c r="AX24" i="1"/>
  <c r="AW24" i="1"/>
  <c r="AD24" i="1"/>
  <c r="AC24" i="1" s="1"/>
  <c r="J24" i="1" s="1"/>
  <c r="BH23" i="1"/>
  <c r="BG23" i="1"/>
  <c r="BF23" i="1"/>
  <c r="BE23" i="1"/>
  <c r="BC23" i="1"/>
  <c r="BB23" i="1"/>
  <c r="BA23" i="1"/>
  <c r="AZ23" i="1"/>
  <c r="AY23" i="1"/>
  <c r="AX23" i="1"/>
  <c r="AW23" i="1"/>
  <c r="AD23" i="1"/>
  <c r="AC23" i="1" s="1"/>
  <c r="J23" i="1" s="1"/>
  <c r="BH22" i="1"/>
  <c r="BG22" i="1"/>
  <c r="BF22" i="1"/>
  <c r="BE22" i="1"/>
  <c r="BC22" i="1"/>
  <c r="BB22" i="1"/>
  <c r="BA22" i="1"/>
  <c r="AZ22" i="1"/>
  <c r="AY22" i="1"/>
  <c r="AX22" i="1"/>
  <c r="AW22" i="1"/>
  <c r="AD22" i="1"/>
  <c r="AC22" i="1" s="1"/>
  <c r="J22" i="1" s="1"/>
  <c r="BH21" i="1"/>
  <c r="BG21" i="1"/>
  <c r="BF21" i="1"/>
  <c r="BE21" i="1"/>
  <c r="BC21" i="1"/>
  <c r="BB21" i="1"/>
  <c r="BA21" i="1"/>
  <c r="AZ21" i="1"/>
  <c r="AY21" i="1"/>
  <c r="AX21" i="1"/>
  <c r="AW21" i="1"/>
  <c r="AD21" i="1"/>
  <c r="AC21" i="1" s="1"/>
  <c r="J21" i="1" s="1"/>
  <c r="BH20" i="1"/>
  <c r="BG20" i="1"/>
  <c r="BF20" i="1"/>
  <c r="BE20" i="1"/>
  <c r="BC20" i="1"/>
  <c r="BB20" i="1"/>
  <c r="BA20" i="1"/>
  <c r="AZ20" i="1"/>
  <c r="AY20" i="1"/>
  <c r="AX20" i="1"/>
  <c r="AW20" i="1"/>
  <c r="AK20" i="1"/>
  <c r="AD20" i="1"/>
  <c r="AC20" i="1" s="1"/>
  <c r="J20" i="1" s="1"/>
  <c r="BH19" i="1"/>
  <c r="BG19" i="1"/>
  <c r="BF19" i="1"/>
  <c r="BE19" i="1"/>
  <c r="BC19" i="1"/>
  <c r="BB19" i="1"/>
  <c r="BA19" i="1"/>
  <c r="AZ19" i="1"/>
  <c r="AY19" i="1"/>
  <c r="AX19" i="1"/>
  <c r="AW19" i="1"/>
  <c r="AK19" i="1"/>
  <c r="AD19" i="1"/>
  <c r="AC19" i="1" s="1"/>
  <c r="J19" i="1" s="1"/>
  <c r="BH18" i="1"/>
  <c r="BG18" i="1"/>
  <c r="BF18" i="1"/>
  <c r="BE18" i="1"/>
  <c r="BB18" i="1"/>
  <c r="BA18" i="1"/>
  <c r="AZ18" i="1"/>
  <c r="AY18" i="1"/>
  <c r="AX18" i="1"/>
  <c r="AW18" i="1"/>
  <c r="AK18" i="1"/>
  <c r="V18" i="1"/>
  <c r="AD18" i="1" s="1"/>
  <c r="AC18" i="1" s="1"/>
  <c r="J18" i="1" s="1"/>
  <c r="BH17" i="1"/>
  <c r="BG17" i="1"/>
  <c r="BF17" i="1"/>
  <c r="BE17" i="1"/>
  <c r="BB17" i="1"/>
  <c r="BA17" i="1"/>
  <c r="AZ17" i="1"/>
  <c r="AY17" i="1"/>
  <c r="AX17" i="1"/>
  <c r="AW17" i="1"/>
  <c r="AK17" i="1"/>
  <c r="V17" i="1"/>
  <c r="AD17" i="1" s="1"/>
  <c r="AC17" i="1" s="1"/>
  <c r="J17" i="1" s="1"/>
  <c r="M17" i="1" s="1"/>
  <c r="BH16" i="1"/>
  <c r="BG16" i="1"/>
  <c r="BF16" i="1"/>
  <c r="BE16" i="1"/>
  <c r="BC16" i="1"/>
  <c r="BB16" i="1"/>
  <c r="BA16" i="1"/>
  <c r="AZ16" i="1"/>
  <c r="AY16" i="1"/>
  <c r="AX16" i="1"/>
  <c r="AW16" i="1"/>
  <c r="AD16" i="1"/>
  <c r="AC16" i="1" s="1"/>
  <c r="J16" i="1" s="1"/>
  <c r="BH15" i="1"/>
  <c r="BG15" i="1"/>
  <c r="BF15" i="1"/>
  <c r="BE15" i="1"/>
  <c r="BC15" i="1"/>
  <c r="BB15" i="1"/>
  <c r="BA15" i="1"/>
  <c r="AZ15" i="1"/>
  <c r="AY15" i="1"/>
  <c r="AX15" i="1"/>
  <c r="AW15" i="1"/>
  <c r="AK15" i="1"/>
  <c r="AR15" i="1" s="1"/>
  <c r="AD15" i="1"/>
  <c r="AC15" i="1" s="1"/>
  <c r="J15" i="1" s="1"/>
  <c r="BH14" i="1"/>
  <c r="BG14" i="1"/>
  <c r="BF14" i="1"/>
  <c r="BE14" i="1"/>
  <c r="BC14" i="1"/>
  <c r="BB14" i="1"/>
  <c r="BA14" i="1"/>
  <c r="AZ14" i="1"/>
  <c r="AY14" i="1"/>
  <c r="AX14" i="1"/>
  <c r="AW14" i="1"/>
  <c r="AD14" i="1"/>
  <c r="AC14" i="1" s="1"/>
  <c r="J14" i="1" s="1"/>
  <c r="BH13" i="1"/>
  <c r="BG13" i="1"/>
  <c r="BF13" i="1"/>
  <c r="BE13" i="1"/>
  <c r="BC13" i="1"/>
  <c r="BB13" i="1"/>
  <c r="BA13" i="1"/>
  <c r="AZ13" i="1"/>
  <c r="AY13" i="1"/>
  <c r="AX13" i="1"/>
  <c r="AW13" i="1"/>
  <c r="AD13" i="1"/>
  <c r="AC13" i="1" s="1"/>
  <c r="J13" i="1" s="1"/>
  <c r="BH12" i="1"/>
  <c r="BG12" i="1"/>
  <c r="BF12" i="1"/>
  <c r="BE12" i="1"/>
  <c r="BB12" i="1"/>
  <c r="BA12" i="1"/>
  <c r="AZ12" i="1"/>
  <c r="AY12" i="1"/>
  <c r="AX12" i="1"/>
  <c r="AW12" i="1"/>
  <c r="V12" i="1"/>
  <c r="BH11" i="1"/>
  <c r="BG11" i="1"/>
  <c r="BF11" i="1"/>
  <c r="BE11" i="1"/>
  <c r="BB11" i="1"/>
  <c r="BA11" i="1"/>
  <c r="AZ11" i="1"/>
  <c r="AY11" i="1"/>
  <c r="AX11" i="1"/>
  <c r="AW11" i="1"/>
  <c r="AK11" i="1"/>
  <c r="V11" i="1"/>
  <c r="AD11" i="1" s="1"/>
  <c r="AC11" i="1" s="1"/>
  <c r="J11" i="1" s="1"/>
  <c r="BH10" i="1"/>
  <c r="BG10" i="1"/>
  <c r="BF10" i="1"/>
  <c r="BE10" i="1"/>
  <c r="BB10" i="1"/>
  <c r="BA10" i="1"/>
  <c r="AZ10" i="1"/>
  <c r="AY10" i="1"/>
  <c r="AX10" i="1"/>
  <c r="AW10" i="1"/>
  <c r="AK10" i="1"/>
  <c r="V10" i="1"/>
  <c r="BC10" i="1" s="1"/>
  <c r="BH9" i="1"/>
  <c r="BG9" i="1"/>
  <c r="BF9" i="1"/>
  <c r="BE9" i="1"/>
  <c r="BB9" i="1"/>
  <c r="BA9" i="1"/>
  <c r="AZ9" i="1"/>
  <c r="AY9" i="1"/>
  <c r="AX9" i="1"/>
  <c r="AW9" i="1"/>
  <c r="AK9" i="1"/>
  <c r="V9" i="1"/>
  <c r="AD9" i="1" s="1"/>
  <c r="AC9" i="1" s="1"/>
  <c r="J9" i="1" s="1"/>
  <c r="BH8" i="1"/>
  <c r="BG8" i="1"/>
  <c r="BF8" i="1"/>
  <c r="BE8" i="1"/>
  <c r="BD8" i="1"/>
  <c r="BB8" i="1"/>
  <c r="BA8" i="1"/>
  <c r="AZ8" i="1"/>
  <c r="AY8" i="1"/>
  <c r="AX8" i="1"/>
  <c r="AW8" i="1"/>
  <c r="AK8" i="1"/>
  <c r="V8" i="1"/>
  <c r="AD8" i="1" s="1"/>
  <c r="AC8" i="1" s="1"/>
  <c r="J8" i="1" s="1"/>
  <c r="BH7" i="1"/>
  <c r="BG7" i="1"/>
  <c r="BF7" i="1"/>
  <c r="BE7" i="1"/>
  <c r="BD7" i="1"/>
  <c r="BB7" i="1"/>
  <c r="BA7" i="1"/>
  <c r="AZ7" i="1"/>
  <c r="AY7" i="1"/>
  <c r="AX7" i="1"/>
  <c r="AW7" i="1"/>
  <c r="V7" i="1"/>
  <c r="BC7" i="1" s="1"/>
  <c r="BH6" i="1"/>
  <c r="BG6" i="1"/>
  <c r="BF6" i="1"/>
  <c r="BE6" i="1"/>
  <c r="BD6" i="1"/>
  <c r="BB6" i="1"/>
  <c r="BA6" i="1"/>
  <c r="AZ6" i="1"/>
  <c r="AY6" i="1"/>
  <c r="AX6" i="1"/>
  <c r="AW6" i="1"/>
  <c r="V6" i="1"/>
  <c r="AD6" i="1" s="1"/>
  <c r="AC6" i="1" s="1"/>
  <c r="J6" i="1" s="1"/>
  <c r="BH5" i="1"/>
  <c r="BG5" i="1"/>
  <c r="BF5" i="1"/>
  <c r="BE5" i="1"/>
  <c r="BD5" i="1"/>
  <c r="BB5" i="1"/>
  <c r="BA5" i="1"/>
  <c r="AZ5" i="1"/>
  <c r="AY5" i="1"/>
  <c r="AX5" i="1"/>
  <c r="AW5" i="1"/>
  <c r="V5" i="1"/>
  <c r="AD5" i="1" s="1"/>
  <c r="AC5" i="1" s="1"/>
  <c r="J5" i="1" s="1"/>
  <c r="BH4" i="1"/>
  <c r="BG4" i="1"/>
  <c r="BF4" i="1"/>
  <c r="BE4" i="1"/>
  <c r="BD4" i="1"/>
  <c r="BB4" i="1"/>
  <c r="BA4" i="1"/>
  <c r="AZ4" i="1"/>
  <c r="AY4" i="1"/>
  <c r="AX4" i="1"/>
  <c r="AW4" i="1"/>
  <c r="V4" i="1"/>
  <c r="AD4" i="1" s="1"/>
  <c r="AC4" i="1" s="1"/>
  <c r="J4" i="1" s="1"/>
  <c r="BH3" i="1"/>
  <c r="BG3" i="1"/>
  <c r="BF3" i="1"/>
  <c r="BE3" i="1"/>
  <c r="BD3" i="1"/>
  <c r="BB3" i="1"/>
  <c r="BA3" i="1"/>
  <c r="AZ3" i="1"/>
  <c r="AY3" i="1"/>
  <c r="AX3" i="1"/>
  <c r="AW3" i="1"/>
  <c r="AK3" i="1"/>
  <c r="V3" i="1"/>
  <c r="BC3" i="1" s="1"/>
  <c r="AR13" i="1"/>
  <c r="AT13" i="1" l="1"/>
  <c r="AD246" i="1"/>
  <c r="AC246" i="1" s="1"/>
  <c r="J246" i="1" s="1"/>
  <c r="AD186" i="1"/>
  <c r="AC186" i="1" s="1"/>
  <c r="J186" i="1" s="1"/>
  <c r="AT15" i="1"/>
  <c r="BC61" i="1"/>
  <c r="BJ61" i="1" s="1"/>
  <c r="AD70" i="1"/>
  <c r="AC70" i="1" s="1"/>
  <c r="J70" i="1" s="1"/>
  <c r="M70" i="1" s="1"/>
  <c r="AD250" i="1"/>
  <c r="AC250" i="1" s="1"/>
  <c r="J250" i="1" s="1"/>
  <c r="L206" i="1"/>
  <c r="BC201" i="1"/>
  <c r="AD243" i="1"/>
  <c r="AC243" i="1" s="1"/>
  <c r="J243" i="1" s="1"/>
  <c r="M243" i="1" s="1"/>
  <c r="AD254" i="1"/>
  <c r="AC254" i="1" s="1"/>
  <c r="J254" i="1" s="1"/>
  <c r="M254" i="1" s="1"/>
  <c r="AD36" i="1"/>
  <c r="AC36" i="1" s="1"/>
  <c r="J36" i="1" s="1"/>
  <c r="M36" i="1" s="1"/>
  <c r="AD77" i="1"/>
  <c r="AC77" i="1" s="1"/>
  <c r="J77" i="1" s="1"/>
  <c r="M77" i="1" s="1"/>
  <c r="BC59" i="1"/>
  <c r="BJ59" i="1" s="1"/>
  <c r="AD178" i="1"/>
  <c r="AC178" i="1" s="1"/>
  <c r="J178" i="1" s="1"/>
  <c r="M178" i="1" s="1"/>
  <c r="AD26" i="1"/>
  <c r="AC26" i="1" s="1"/>
  <c r="J26" i="1" s="1"/>
  <c r="M26" i="1" s="1"/>
  <c r="AD38" i="1"/>
  <c r="AC38" i="1" s="1"/>
  <c r="J38" i="1" s="1"/>
  <c r="L38" i="1" s="1"/>
  <c r="AD170" i="1"/>
  <c r="AC170" i="1" s="1"/>
  <c r="J170" i="1" s="1"/>
  <c r="M170" i="1" s="1"/>
  <c r="BC184" i="1"/>
  <c r="AD182" i="1"/>
  <c r="AC182" i="1" s="1"/>
  <c r="J182" i="1" s="1"/>
  <c r="AD113" i="1"/>
  <c r="AC113" i="1" s="1"/>
  <c r="J113" i="1" s="1"/>
  <c r="M113" i="1" s="1"/>
  <c r="BC175" i="1"/>
  <c r="BC245" i="1"/>
  <c r="BJ245" i="1" s="1"/>
  <c r="AD32" i="1"/>
  <c r="AC32" i="1" s="1"/>
  <c r="J32" i="1" s="1"/>
  <c r="M32" i="1" s="1"/>
  <c r="AD99" i="1"/>
  <c r="AC99" i="1" s="1"/>
  <c r="J99" i="1" s="1"/>
  <c r="M99" i="1" s="1"/>
  <c r="BC209" i="1"/>
  <c r="BJ209" i="1" s="1"/>
  <c r="AD220" i="1"/>
  <c r="AC220" i="1" s="1"/>
  <c r="J220" i="1" s="1"/>
  <c r="L220" i="1" s="1"/>
  <c r="AD60" i="1"/>
  <c r="AC60" i="1" s="1"/>
  <c r="J60" i="1" s="1"/>
  <c r="L60" i="1" s="1"/>
  <c r="BC210" i="1"/>
  <c r="BC8" i="1"/>
  <c r="BJ8" i="1" s="1"/>
  <c r="BJ90" i="1"/>
  <c r="M156" i="1"/>
  <c r="AD230" i="1"/>
  <c r="AC230" i="1" s="1"/>
  <c r="J230" i="1" s="1"/>
  <c r="M230" i="1" s="1"/>
  <c r="BC248" i="1"/>
  <c r="BJ248" i="1" s="1"/>
  <c r="BJ214" i="1"/>
  <c r="AD224" i="1"/>
  <c r="AC224" i="1" s="1"/>
  <c r="J224" i="1" s="1"/>
  <c r="M224" i="1" s="1"/>
  <c r="AD157" i="1"/>
  <c r="AC157" i="1" s="1"/>
  <c r="J157" i="1" s="1"/>
  <c r="M157" i="1" s="1"/>
  <c r="M144" i="1"/>
  <c r="BC213" i="1"/>
  <c r="BJ213" i="1" s="1"/>
  <c r="BC68" i="1"/>
  <c r="BJ68" i="1" s="1"/>
  <c r="AD249" i="1"/>
  <c r="AC249" i="1" s="1"/>
  <c r="J249" i="1" s="1"/>
  <c r="M212" i="1"/>
  <c r="L212" i="1"/>
  <c r="M160" i="1"/>
  <c r="L160" i="1"/>
  <c r="M151" i="1"/>
  <c r="L151" i="1"/>
  <c r="M118" i="1"/>
  <c r="L118" i="1"/>
  <c r="BJ144" i="1"/>
  <c r="AW113" i="1"/>
  <c r="BJ113" i="1" s="1"/>
  <c r="AD114" i="1"/>
  <c r="AC114" i="1" s="1"/>
  <c r="J114" i="1" s="1"/>
  <c r="M114" i="1" s="1"/>
  <c r="BJ124" i="1"/>
  <c r="AD173" i="1"/>
  <c r="AC173" i="1" s="1"/>
  <c r="J173" i="1" s="1"/>
  <c r="M173" i="1" s="1"/>
  <c r="BJ177" i="1"/>
  <c r="M195" i="1"/>
  <c r="M200" i="1"/>
  <c r="BJ254" i="1"/>
  <c r="BJ255" i="1"/>
  <c r="BC11" i="1"/>
  <c r="BJ11" i="1" s="1"/>
  <c r="AD106" i="1"/>
  <c r="AC106" i="1" s="1"/>
  <c r="J106" i="1" s="1"/>
  <c r="AD174" i="1"/>
  <c r="AC174" i="1" s="1"/>
  <c r="J174" i="1" s="1"/>
  <c r="M174" i="1" s="1"/>
  <c r="BC4" i="1"/>
  <c r="BJ4" i="1" s="1"/>
  <c r="BC37" i="1"/>
  <c r="BJ37" i="1" s="1"/>
  <c r="BC48" i="1"/>
  <c r="BJ48" i="1" s="1"/>
  <c r="AD53" i="1"/>
  <c r="AC53" i="1" s="1"/>
  <c r="J53" i="1" s="1"/>
  <c r="L53" i="1" s="1"/>
  <c r="BJ205" i="1"/>
  <c r="BC75" i="1"/>
  <c r="AD98" i="1"/>
  <c r="AC98" i="1" s="1"/>
  <c r="J98" i="1" s="1"/>
  <c r="L98" i="1" s="1"/>
  <c r="M130" i="1"/>
  <c r="BJ135" i="1"/>
  <c r="BC237" i="1"/>
  <c r="BJ237" i="1" s="1"/>
  <c r="BJ186" i="1"/>
  <c r="BJ152" i="1"/>
  <c r="BC118" i="1"/>
  <c r="BJ118" i="1" s="1"/>
  <c r="BC155" i="1"/>
  <c r="BJ155" i="1" s="1"/>
  <c r="BC160" i="1"/>
  <c r="BJ160" i="1" s="1"/>
  <c r="BJ178" i="1"/>
  <c r="AD190" i="1"/>
  <c r="AC190" i="1" s="1"/>
  <c r="J190" i="1" s="1"/>
  <c r="BJ234" i="1"/>
  <c r="BJ146" i="1"/>
  <c r="AD29" i="1"/>
  <c r="AC29" i="1" s="1"/>
  <c r="J29" i="1" s="1"/>
  <c r="M29" i="1" s="1"/>
  <c r="BJ92" i="1"/>
  <c r="AD218" i="1"/>
  <c r="AC218" i="1" s="1"/>
  <c r="J218" i="1" s="1"/>
  <c r="L218" i="1" s="1"/>
  <c r="BJ250" i="1"/>
  <c r="BC156" i="1"/>
  <c r="BJ156" i="1" s="1"/>
  <c r="BC185" i="1"/>
  <c r="BJ185" i="1" s="1"/>
  <c r="BJ252" i="1"/>
  <c r="M51" i="1"/>
  <c r="BJ89" i="1"/>
  <c r="BJ174" i="1"/>
  <c r="BJ196" i="1"/>
  <c r="BC200" i="1"/>
  <c r="BJ200" i="1" s="1"/>
  <c r="AD227" i="1"/>
  <c r="AC227" i="1" s="1"/>
  <c r="J227" i="1" s="1"/>
  <c r="M227" i="1" s="1"/>
  <c r="M87" i="1"/>
  <c r="L87" i="1"/>
  <c r="L185" i="1"/>
  <c r="M185" i="1"/>
  <c r="M152" i="1"/>
  <c r="L152" i="1"/>
  <c r="M162" i="1"/>
  <c r="L162" i="1"/>
  <c r="M27" i="1"/>
  <c r="L27" i="1"/>
  <c r="M136" i="1"/>
  <c r="L136" i="1"/>
  <c r="M196" i="1"/>
  <c r="L196" i="1"/>
  <c r="L20" i="1"/>
  <c r="M20" i="1"/>
  <c r="M175" i="1"/>
  <c r="L175" i="1"/>
  <c r="M83" i="1"/>
  <c r="L83" i="1"/>
  <c r="L159" i="1"/>
  <c r="M159" i="1"/>
  <c r="M164" i="1"/>
  <c r="L164" i="1"/>
  <c r="M197" i="1"/>
  <c r="L197" i="1"/>
  <c r="L228" i="1"/>
  <c r="M228" i="1"/>
  <c r="M21" i="1"/>
  <c r="L21" i="1"/>
  <c r="M123" i="1"/>
  <c r="L123" i="1"/>
  <c r="L231" i="1"/>
  <c r="M231" i="1"/>
  <c r="M44" i="1"/>
  <c r="L44" i="1"/>
  <c r="M124" i="1"/>
  <c r="L124" i="1"/>
  <c r="L132" i="1"/>
  <c r="M132" i="1"/>
  <c r="M24" i="1"/>
  <c r="L24" i="1"/>
  <c r="M125" i="1"/>
  <c r="L125" i="1"/>
  <c r="M133" i="1"/>
  <c r="L133" i="1"/>
  <c r="M139" i="1"/>
  <c r="L139" i="1"/>
  <c r="M193" i="1"/>
  <c r="L193" i="1"/>
  <c r="BJ30" i="1"/>
  <c r="AD64" i="1"/>
  <c r="AC64" i="1" s="1"/>
  <c r="J64" i="1" s="1"/>
  <c r="BJ77" i="1"/>
  <c r="AD93" i="1"/>
  <c r="AC93" i="1" s="1"/>
  <c r="J93" i="1" s="1"/>
  <c r="BC168" i="1"/>
  <c r="BJ168" i="1" s="1"/>
  <c r="BJ172" i="1"/>
  <c r="M209" i="1"/>
  <c r="BJ225" i="1"/>
  <c r="BJ15" i="1"/>
  <c r="AR16" i="1"/>
  <c r="I16" i="1" s="1"/>
  <c r="BC17" i="1"/>
  <c r="BJ17" i="1" s="1"/>
  <c r="BJ22" i="1"/>
  <c r="BJ27" i="1"/>
  <c r="BJ43" i="1"/>
  <c r="BC83" i="1"/>
  <c r="BJ83" i="1" s="1"/>
  <c r="BC94" i="1"/>
  <c r="BJ116" i="1"/>
  <c r="BJ120" i="1"/>
  <c r="BJ133" i="1"/>
  <c r="L149" i="1"/>
  <c r="BC163" i="1"/>
  <c r="BJ163" i="1" s="1"/>
  <c r="BJ181" i="1"/>
  <c r="BJ199" i="1"/>
  <c r="BJ216" i="1"/>
  <c r="AD226" i="1"/>
  <c r="AC226" i="1" s="1"/>
  <c r="J226" i="1" s="1"/>
  <c r="M234" i="1"/>
  <c r="BJ165" i="1"/>
  <c r="AD10" i="1"/>
  <c r="AC10" i="1" s="1"/>
  <c r="J10" i="1" s="1"/>
  <c r="M10" i="1" s="1"/>
  <c r="BJ23" i="1"/>
  <c r="BJ60" i="1"/>
  <c r="AR65" i="1"/>
  <c r="AT65" i="1" s="1"/>
  <c r="BJ127" i="1"/>
  <c r="BJ151" i="1"/>
  <c r="BC157" i="1"/>
  <c r="BJ157" i="1" s="1"/>
  <c r="L163" i="1"/>
  <c r="BC169" i="1"/>
  <c r="BJ169" i="1" s="1"/>
  <c r="BJ193" i="1"/>
  <c r="AD205" i="1"/>
  <c r="AC205" i="1" s="1"/>
  <c r="J205" i="1" s="1"/>
  <c r="AD238" i="1"/>
  <c r="AC238" i="1" s="1"/>
  <c r="J238" i="1" s="1"/>
  <c r="BJ212" i="1"/>
  <c r="BJ40" i="1"/>
  <c r="BC84" i="1"/>
  <c r="BJ84" i="1" s="1"/>
  <c r="BJ85" i="1"/>
  <c r="BJ139" i="1"/>
  <c r="BC164" i="1"/>
  <c r="BJ164" i="1" s="1"/>
  <c r="BJ175" i="1"/>
  <c r="BJ217" i="1"/>
  <c r="BJ224" i="1"/>
  <c r="AR77" i="1"/>
  <c r="BC18" i="1"/>
  <c r="BJ18" i="1" s="1"/>
  <c r="AR6" i="1"/>
  <c r="AD25" i="1"/>
  <c r="AC25" i="1" s="1"/>
  <c r="J25" i="1" s="1"/>
  <c r="M25" i="1" s="1"/>
  <c r="BJ33" i="1"/>
  <c r="BJ34" i="1"/>
  <c r="AR41" i="1"/>
  <c r="BC52" i="1"/>
  <c r="BJ52" i="1" s="1"/>
  <c r="BC76" i="1"/>
  <c r="BJ76" i="1" s="1"/>
  <c r="BJ93" i="1"/>
  <c r="M102" i="1"/>
  <c r="BC104" i="1"/>
  <c r="BJ104" i="1" s="1"/>
  <c r="L116" i="1"/>
  <c r="BJ136" i="1"/>
  <c r="L141" i="1"/>
  <c r="BJ149" i="1"/>
  <c r="AD150" i="1"/>
  <c r="AC150" i="1" s="1"/>
  <c r="J150" i="1" s="1"/>
  <c r="L180" i="1"/>
  <c r="M199" i="1"/>
  <c r="BC215" i="1"/>
  <c r="BJ215" i="1" s="1"/>
  <c r="BJ222" i="1"/>
  <c r="BC235" i="1"/>
  <c r="BJ235" i="1" s="1"/>
  <c r="BC242" i="1"/>
  <c r="BJ242" i="1" s="1"/>
  <c r="BJ7" i="1"/>
  <c r="BJ66" i="1"/>
  <c r="AR29" i="1"/>
  <c r="AD30" i="1"/>
  <c r="AC30" i="1" s="1"/>
  <c r="J30" i="1" s="1"/>
  <c r="M30" i="1" s="1"/>
  <c r="BJ50" i="1"/>
  <c r="BJ101" i="1"/>
  <c r="BJ106" i="1"/>
  <c r="BC131" i="1"/>
  <c r="BJ131" i="1" s="1"/>
  <c r="AW190" i="1"/>
  <c r="BJ190" i="1" s="1"/>
  <c r="L215" i="1"/>
  <c r="BJ218" i="1"/>
  <c r="BJ239" i="1"/>
  <c r="AD7" i="1"/>
  <c r="AC7" i="1" s="1"/>
  <c r="J7" i="1" s="1"/>
  <c r="BJ25" i="1"/>
  <c r="AR80" i="1"/>
  <c r="L134" i="1"/>
  <c r="BJ251" i="1"/>
  <c r="AR30" i="1"/>
  <c r="I30" i="1" s="1"/>
  <c r="BJ16" i="1"/>
  <c r="BJ21" i="1"/>
  <c r="AW26" i="1"/>
  <c r="BJ26" i="1" s="1"/>
  <c r="AR31" i="1"/>
  <c r="BJ36" i="1"/>
  <c r="BJ79" i="1"/>
  <c r="BJ88" i="1"/>
  <c r="AD97" i="1"/>
  <c r="AC97" i="1" s="1"/>
  <c r="J97" i="1" s="1"/>
  <c r="L97" i="1" s="1"/>
  <c r="BJ98" i="1"/>
  <c r="AD112" i="1"/>
  <c r="AC112" i="1" s="1"/>
  <c r="J112" i="1" s="1"/>
  <c r="M112" i="1" s="1"/>
  <c r="BJ115" i="1"/>
  <c r="BJ126" i="1"/>
  <c r="M138" i="1"/>
  <c r="L143" i="1"/>
  <c r="BJ184" i="1"/>
  <c r="BJ201" i="1"/>
  <c r="BJ247" i="1"/>
  <c r="BJ3" i="1"/>
  <c r="BC6" i="1"/>
  <c r="BJ6" i="1" s="1"/>
  <c r="AR8" i="1"/>
  <c r="BJ14" i="1"/>
  <c r="AD81" i="1"/>
  <c r="AC81" i="1" s="1"/>
  <c r="J81" i="1" s="1"/>
  <c r="BJ91" i="1"/>
  <c r="BJ97" i="1"/>
  <c r="L126" i="1"/>
  <c r="BJ129" i="1"/>
  <c r="BJ134" i="1"/>
  <c r="BJ143" i="1"/>
  <c r="AW170" i="1"/>
  <c r="BJ170" i="1" s="1"/>
  <c r="BJ219" i="1"/>
  <c r="M5" i="1"/>
  <c r="L5" i="1"/>
  <c r="M39" i="1"/>
  <c r="L39" i="1"/>
  <c r="L40" i="1"/>
  <c r="M40" i="1"/>
  <c r="M61" i="1"/>
  <c r="L61" i="1"/>
  <c r="M65" i="1"/>
  <c r="L65" i="1"/>
  <c r="M86" i="1"/>
  <c r="L86" i="1"/>
  <c r="M6" i="1"/>
  <c r="L6" i="1"/>
  <c r="AU13" i="1"/>
  <c r="I13" i="1"/>
  <c r="AS13" i="1"/>
  <c r="M62" i="1"/>
  <c r="L62" i="1"/>
  <c r="M66" i="1"/>
  <c r="L66" i="1"/>
  <c r="M11" i="1"/>
  <c r="L11" i="1"/>
  <c r="M55" i="1"/>
  <c r="L55" i="1"/>
  <c r="M16" i="1"/>
  <c r="L16" i="1"/>
  <c r="BJ10" i="1"/>
  <c r="L46" i="1"/>
  <c r="M46" i="1"/>
  <c r="L48" i="1"/>
  <c r="M48" i="1"/>
  <c r="M13" i="1"/>
  <c r="L13" i="1"/>
  <c r="M18" i="1"/>
  <c r="L18" i="1"/>
  <c r="M8" i="1"/>
  <c r="L8" i="1"/>
  <c r="L14" i="1"/>
  <c r="M14" i="1"/>
  <c r="M31" i="1"/>
  <c r="L31" i="1"/>
  <c r="M47" i="1"/>
  <c r="L47" i="1"/>
  <c r="M15" i="1"/>
  <c r="L15" i="1"/>
  <c r="L19" i="1"/>
  <c r="M19" i="1"/>
  <c r="M59" i="1"/>
  <c r="L59" i="1"/>
  <c r="L68" i="1"/>
  <c r="M68" i="1"/>
  <c r="M4" i="1"/>
  <c r="L4" i="1"/>
  <c r="M23" i="1"/>
  <c r="L23" i="1"/>
  <c r="M9" i="1"/>
  <c r="L9" i="1"/>
  <c r="M33" i="1"/>
  <c r="L33" i="1"/>
  <c r="AR3" i="1"/>
  <c r="AR14" i="1"/>
  <c r="AT14" i="1" s="1"/>
  <c r="BJ20" i="1"/>
  <c r="M22" i="1"/>
  <c r="L22" i="1"/>
  <c r="BC31" i="1"/>
  <c r="BJ31" i="1" s="1"/>
  <c r="BJ38" i="1"/>
  <c r="M45" i="1"/>
  <c r="M54" i="1"/>
  <c r="L67" i="1"/>
  <c r="AR73" i="1"/>
  <c r="AR78" i="1"/>
  <c r="AR84" i="1"/>
  <c r="AT84" i="1" s="1"/>
  <c r="M92" i="1"/>
  <c r="L92" i="1"/>
  <c r="BC35" i="1"/>
  <c r="BJ35" i="1" s="1"/>
  <c r="AD35" i="1"/>
  <c r="AC35" i="1" s="1"/>
  <c r="J35" i="1" s="1"/>
  <c r="AR4" i="1"/>
  <c r="AT4" i="1" s="1"/>
  <c r="BC5" i="1"/>
  <c r="BJ5" i="1" s="1"/>
  <c r="BC9" i="1"/>
  <c r="BJ9" i="1" s="1"/>
  <c r="AR32" i="1"/>
  <c r="AR33" i="1"/>
  <c r="AT33" i="1" s="1"/>
  <c r="AR34" i="1"/>
  <c r="AT34" i="1" s="1"/>
  <c r="AR35" i="1"/>
  <c r="BJ53" i="1"/>
  <c r="BJ55" i="1"/>
  <c r="BJ62" i="1"/>
  <c r="M63" i="1"/>
  <c r="L63" i="1"/>
  <c r="L90" i="1"/>
  <c r="M90" i="1"/>
  <c r="AS15" i="1"/>
  <c r="I15" i="1"/>
  <c r="BJ13" i="1"/>
  <c r="AR17" i="1"/>
  <c r="AT17" i="1" s="1"/>
  <c r="AR36" i="1"/>
  <c r="BC39" i="1"/>
  <c r="BJ39" i="1" s="1"/>
  <c r="M42" i="1"/>
  <c r="L42" i="1"/>
  <c r="BJ42" i="1"/>
  <c r="L43" i="1"/>
  <c r="AR45" i="1"/>
  <c r="AT45" i="1" s="1"/>
  <c r="BJ47" i="1"/>
  <c r="AR54" i="1"/>
  <c r="AT54" i="1" s="1"/>
  <c r="AD58" i="1"/>
  <c r="AC58" i="1" s="1"/>
  <c r="J58" i="1" s="1"/>
  <c r="BC58" i="1"/>
  <c r="BJ58" i="1" s="1"/>
  <c r="L76" i="1"/>
  <c r="AR87" i="1"/>
  <c r="AT87" i="1" s="1"/>
  <c r="AR94" i="1"/>
  <c r="AT94" i="1" s="1"/>
  <c r="BC103" i="1"/>
  <c r="BJ103" i="1" s="1"/>
  <c r="AD103" i="1"/>
  <c r="AC103" i="1" s="1"/>
  <c r="J103" i="1" s="1"/>
  <c r="AR9" i="1"/>
  <c r="AT9" i="1" s="1"/>
  <c r="AR37" i="1"/>
  <c r="AT37" i="1" s="1"/>
  <c r="BJ46" i="1"/>
  <c r="L50" i="1"/>
  <c r="BC56" i="1"/>
  <c r="BJ56" i="1" s="1"/>
  <c r="AD56" i="1"/>
  <c r="AC56" i="1" s="1"/>
  <c r="J56" i="1" s="1"/>
  <c r="AR67" i="1"/>
  <c r="AT67" i="1" s="1"/>
  <c r="BC95" i="1"/>
  <c r="BJ95" i="1" s="1"/>
  <c r="AD95" i="1"/>
  <c r="AC95" i="1" s="1"/>
  <c r="J95" i="1" s="1"/>
  <c r="L104" i="1"/>
  <c r="L131" i="1"/>
  <c r="M131" i="1"/>
  <c r="AR22" i="1"/>
  <c r="AT22" i="1" s="1"/>
  <c r="AR23" i="1"/>
  <c r="AT23" i="1" s="1"/>
  <c r="AR38" i="1"/>
  <c r="AT38" i="1" s="1"/>
  <c r="BJ41" i="1"/>
  <c r="AR44" i="1"/>
  <c r="AT44" i="1" s="1"/>
  <c r="AR58" i="1"/>
  <c r="AR72" i="1"/>
  <c r="AR10" i="1"/>
  <c r="AR19" i="1"/>
  <c r="AT19" i="1" s="1"/>
  <c r="AR21" i="1"/>
  <c r="AT21" i="1" s="1"/>
  <c r="AR25" i="1"/>
  <c r="AD28" i="1"/>
  <c r="AC28" i="1" s="1"/>
  <c r="J28" i="1" s="1"/>
  <c r="AW29" i="1"/>
  <c r="BJ29" i="1" s="1"/>
  <c r="BJ45" i="1"/>
  <c r="BJ51" i="1"/>
  <c r="BJ75" i="1"/>
  <c r="BC82" i="1"/>
  <c r="BJ82" i="1" s="1"/>
  <c r="AD82" i="1"/>
  <c r="AC82" i="1" s="1"/>
  <c r="J82" i="1" s="1"/>
  <c r="M88" i="1"/>
  <c r="L88" i="1"/>
  <c r="AR97" i="1"/>
  <c r="L17" i="1"/>
  <c r="AR26" i="1"/>
  <c r="AT26" i="1" s="1"/>
  <c r="L34" i="1"/>
  <c r="AR43" i="1"/>
  <c r="AT43" i="1" s="1"/>
  <c r="L52" i="1"/>
  <c r="AW69" i="1"/>
  <c r="BJ69" i="1" s="1"/>
  <c r="AD69" i="1"/>
  <c r="AC69" i="1" s="1"/>
  <c r="J69" i="1" s="1"/>
  <c r="M84" i="1"/>
  <c r="L84" i="1"/>
  <c r="BJ87" i="1"/>
  <c r="BJ123" i="1"/>
  <c r="AU65" i="1"/>
  <c r="I65" i="1"/>
  <c r="AS65" i="1"/>
  <c r="AU15" i="1"/>
  <c r="AR40" i="1"/>
  <c r="AT40" i="1" s="1"/>
  <c r="AR99" i="1"/>
  <c r="AR48" i="1"/>
  <c r="AT48" i="1" s="1"/>
  <c r="AR7" i="1"/>
  <c r="BC12" i="1"/>
  <c r="BJ12" i="1" s="1"/>
  <c r="AD12" i="1"/>
  <c r="AC12" i="1" s="1"/>
  <c r="J12" i="1" s="1"/>
  <c r="AR27" i="1"/>
  <c r="AT27" i="1" s="1"/>
  <c r="AY28" i="1"/>
  <c r="BJ28" i="1" s="1"/>
  <c r="BJ32" i="1"/>
  <c r="L37" i="1"/>
  <c r="AR63" i="1"/>
  <c r="AT63" i="1" s="1"/>
  <c r="BJ67" i="1"/>
  <c r="L75" i="1"/>
  <c r="BJ81" i="1"/>
  <c r="L79" i="1"/>
  <c r="M79" i="1"/>
  <c r="BC49" i="1"/>
  <c r="BJ49" i="1" s="1"/>
  <c r="AD49" i="1"/>
  <c r="AC49" i="1" s="1"/>
  <c r="J49" i="1" s="1"/>
  <c r="AD3" i="1"/>
  <c r="AC3" i="1" s="1"/>
  <c r="J3" i="1" s="1"/>
  <c r="BJ24" i="1"/>
  <c r="AR53" i="1"/>
  <c r="AT53" i="1" s="1"/>
  <c r="BC57" i="1"/>
  <c r="BJ57" i="1" s="1"/>
  <c r="AD57" i="1"/>
  <c r="AC57" i="1" s="1"/>
  <c r="J57" i="1" s="1"/>
  <c r="BJ64" i="1"/>
  <c r="BC65" i="1"/>
  <c r="BJ65" i="1" s="1"/>
  <c r="AR91" i="1"/>
  <c r="AT91" i="1" s="1"/>
  <c r="M109" i="1"/>
  <c r="L109" i="1"/>
  <c r="L121" i="1"/>
  <c r="M121" i="1"/>
  <c r="AR12" i="1"/>
  <c r="BJ19" i="1"/>
  <c r="M41" i="1"/>
  <c r="L41" i="1"/>
  <c r="BJ44" i="1"/>
  <c r="BJ63" i="1"/>
  <c r="BC71" i="1"/>
  <c r="BJ71" i="1" s="1"/>
  <c r="AD71" i="1"/>
  <c r="AC71" i="1" s="1"/>
  <c r="J71" i="1" s="1"/>
  <c r="AD73" i="1"/>
  <c r="AC73" i="1" s="1"/>
  <c r="J73" i="1" s="1"/>
  <c r="BC73" i="1"/>
  <c r="BJ73" i="1" s="1"/>
  <c r="BC78" i="1"/>
  <c r="BJ78" i="1" s="1"/>
  <c r="AD78" i="1"/>
  <c r="AC78" i="1" s="1"/>
  <c r="J78" i="1" s="1"/>
  <c r="L80" i="1"/>
  <c r="M80" i="1"/>
  <c r="M89" i="1"/>
  <c r="L89" i="1"/>
  <c r="BC100" i="1"/>
  <c r="BJ100" i="1" s="1"/>
  <c r="AD100" i="1"/>
  <c r="AC100" i="1" s="1"/>
  <c r="J100" i="1" s="1"/>
  <c r="M127" i="1"/>
  <c r="L127" i="1"/>
  <c r="AR61" i="1"/>
  <c r="AT61" i="1" s="1"/>
  <c r="AR68" i="1"/>
  <c r="AT68" i="1" s="1"/>
  <c r="BC72" i="1"/>
  <c r="BJ72" i="1" s="1"/>
  <c r="AD72" i="1"/>
  <c r="AC72" i="1" s="1"/>
  <c r="J72" i="1" s="1"/>
  <c r="BC74" i="1"/>
  <c r="BJ74" i="1" s="1"/>
  <c r="AD74" i="1"/>
  <c r="AC74" i="1" s="1"/>
  <c r="J74" i="1" s="1"/>
  <c r="M85" i="1"/>
  <c r="L85" i="1"/>
  <c r="AR102" i="1"/>
  <c r="AT102" i="1" s="1"/>
  <c r="AR121" i="1"/>
  <c r="AT121" i="1" s="1"/>
  <c r="AR56" i="1"/>
  <c r="AT56" i="1" s="1"/>
  <c r="AR62" i="1"/>
  <c r="AT62" i="1" s="1"/>
  <c r="AR88" i="1"/>
  <c r="AT88" i="1" s="1"/>
  <c r="BJ96" i="1"/>
  <c r="AD108" i="1"/>
  <c r="AC108" i="1" s="1"/>
  <c r="J108" i="1" s="1"/>
  <c r="AW108" i="1"/>
  <c r="BJ108" i="1" s="1"/>
  <c r="BC110" i="1"/>
  <c r="BJ110" i="1" s="1"/>
  <c r="AD110" i="1"/>
  <c r="AC110" i="1" s="1"/>
  <c r="J110" i="1" s="1"/>
  <c r="L119" i="1"/>
  <c r="M119" i="1"/>
  <c r="AD122" i="1"/>
  <c r="AC122" i="1" s="1"/>
  <c r="J122" i="1" s="1"/>
  <c r="BC122" i="1"/>
  <c r="BJ122" i="1" s="1"/>
  <c r="M166" i="1"/>
  <c r="L166" i="1"/>
  <c r="AR106" i="1"/>
  <c r="BC147" i="1"/>
  <c r="BJ147" i="1" s="1"/>
  <c r="AD147" i="1"/>
  <c r="AC147" i="1" s="1"/>
  <c r="J147" i="1" s="1"/>
  <c r="M171" i="1"/>
  <c r="L171" i="1"/>
  <c r="AR39" i="1"/>
  <c r="AT39" i="1" s="1"/>
  <c r="AR42" i="1"/>
  <c r="AT42" i="1" s="1"/>
  <c r="AR49" i="1"/>
  <c r="AR50" i="1"/>
  <c r="AT50" i="1" s="1"/>
  <c r="AR57" i="1"/>
  <c r="AR74" i="1"/>
  <c r="AR75" i="1"/>
  <c r="AT75" i="1" s="1"/>
  <c r="AR85" i="1"/>
  <c r="AT85" i="1" s="1"/>
  <c r="AR90" i="1"/>
  <c r="AT90" i="1" s="1"/>
  <c r="AR250" i="1"/>
  <c r="AT250" i="1" s="1"/>
  <c r="AR240" i="1"/>
  <c r="AT240" i="1" s="1"/>
  <c r="AR232" i="1"/>
  <c r="AT232" i="1" s="1"/>
  <c r="AR218" i="1"/>
  <c r="AR253" i="1"/>
  <c r="AR245" i="1"/>
  <c r="AT245" i="1" s="1"/>
  <c r="AR237" i="1"/>
  <c r="AT237" i="1" s="1"/>
  <c r="AR229" i="1"/>
  <c r="AT229" i="1" s="1"/>
  <c r="AR226" i="1"/>
  <c r="AR215" i="1"/>
  <c r="AT215" i="1" s="1"/>
  <c r="AR220" i="1"/>
  <c r="AR247" i="1"/>
  <c r="AR239" i="1"/>
  <c r="AR212" i="1"/>
  <c r="AT212" i="1" s="1"/>
  <c r="AR199" i="1"/>
  <c r="AT199" i="1" s="1"/>
  <c r="AR255" i="1"/>
  <c r="AR242" i="1"/>
  <c r="AT242" i="1" s="1"/>
  <c r="AR234" i="1"/>
  <c r="AT234" i="1" s="1"/>
  <c r="AR231" i="1"/>
  <c r="AT231" i="1" s="1"/>
  <c r="AR223" i="1"/>
  <c r="AR207" i="1"/>
  <c r="AT207" i="1" s="1"/>
  <c r="AR204" i="1"/>
  <c r="AR249" i="1"/>
  <c r="AT249" i="1" s="1"/>
  <c r="AR228" i="1"/>
  <c r="AT228" i="1" s="1"/>
  <c r="AR217" i="1"/>
  <c r="AT217" i="1" s="1"/>
  <c r="AR201" i="1"/>
  <c r="AT201" i="1" s="1"/>
  <c r="AR252" i="1"/>
  <c r="AT252" i="1" s="1"/>
  <c r="AR244" i="1"/>
  <c r="AR236" i="1"/>
  <c r="AR214" i="1"/>
  <c r="AT214" i="1" s="1"/>
  <c r="AR209" i="1"/>
  <c r="AT209" i="1" s="1"/>
  <c r="AR225" i="1"/>
  <c r="AT225" i="1" s="1"/>
  <c r="AR254" i="1"/>
  <c r="AR246" i="1"/>
  <c r="AT246" i="1" s="1"/>
  <c r="AR238" i="1"/>
  <c r="AT238" i="1" s="1"/>
  <c r="AR233" i="1"/>
  <c r="AT233" i="1" s="1"/>
  <c r="AR230" i="1"/>
  <c r="AR227" i="1"/>
  <c r="AR222" i="1"/>
  <c r="AT222" i="1" s="1"/>
  <c r="AR219" i="1"/>
  <c r="AT219" i="1" s="1"/>
  <c r="AR251" i="1"/>
  <c r="AT251" i="1" s="1"/>
  <c r="AR241" i="1"/>
  <c r="AT241" i="1" s="1"/>
  <c r="AR216" i="1"/>
  <c r="AT216" i="1" s="1"/>
  <c r="AR203" i="1"/>
  <c r="AT203" i="1" s="1"/>
  <c r="AR194" i="1"/>
  <c r="AR248" i="1"/>
  <c r="AT248" i="1" s="1"/>
  <c r="AR224" i="1"/>
  <c r="AR221" i="1"/>
  <c r="AT221" i="1" s="1"/>
  <c r="AR208" i="1"/>
  <c r="AR189" i="1"/>
  <c r="AR162" i="1"/>
  <c r="AT162" i="1" s="1"/>
  <c r="AR154" i="1"/>
  <c r="AR143" i="1"/>
  <c r="AT143" i="1" s="1"/>
  <c r="AR213" i="1"/>
  <c r="AT213" i="1" s="1"/>
  <c r="AR211" i="1"/>
  <c r="AR183" i="1"/>
  <c r="AR172" i="1"/>
  <c r="AR167" i="1"/>
  <c r="AR159" i="1"/>
  <c r="AT159" i="1" s="1"/>
  <c r="AR205" i="1"/>
  <c r="AT205" i="1" s="1"/>
  <c r="AR177" i="1"/>
  <c r="AT177" i="1" s="1"/>
  <c r="AR156" i="1"/>
  <c r="AT156" i="1" s="1"/>
  <c r="AR151" i="1"/>
  <c r="AT151" i="1" s="1"/>
  <c r="AR196" i="1"/>
  <c r="AT196" i="1" s="1"/>
  <c r="AR195" i="1"/>
  <c r="AT195" i="1" s="1"/>
  <c r="AR193" i="1"/>
  <c r="AT193" i="1" s="1"/>
  <c r="AR185" i="1"/>
  <c r="AT185" i="1" s="1"/>
  <c r="AR174" i="1"/>
  <c r="AR164" i="1"/>
  <c r="AT164" i="1" s="1"/>
  <c r="AR235" i="1"/>
  <c r="AT235" i="1" s="1"/>
  <c r="AR206" i="1"/>
  <c r="AT206" i="1" s="1"/>
  <c r="AR192" i="1"/>
  <c r="AT192" i="1" s="1"/>
  <c r="AR190" i="1"/>
  <c r="AT190" i="1" s="1"/>
  <c r="AR184" i="1"/>
  <c r="AT184" i="1" s="1"/>
  <c r="AR173" i="1"/>
  <c r="AR171" i="1"/>
  <c r="AT171" i="1" s="1"/>
  <c r="AR155" i="1"/>
  <c r="AT155" i="1" s="1"/>
  <c r="AR120" i="1"/>
  <c r="AT120" i="1" s="1"/>
  <c r="AR243" i="1"/>
  <c r="AT243" i="1" s="1"/>
  <c r="AR210" i="1"/>
  <c r="AT210" i="1" s="1"/>
  <c r="AR197" i="1"/>
  <c r="AT197" i="1" s="1"/>
  <c r="AR191" i="1"/>
  <c r="AR186" i="1"/>
  <c r="AT186" i="1" s="1"/>
  <c r="AR152" i="1"/>
  <c r="AT152" i="1" s="1"/>
  <c r="AR187" i="1"/>
  <c r="AT187" i="1" s="1"/>
  <c r="AR179" i="1"/>
  <c r="AT179" i="1" s="1"/>
  <c r="AR150" i="1"/>
  <c r="AT150" i="1" s="1"/>
  <c r="AR138" i="1"/>
  <c r="AT138" i="1" s="1"/>
  <c r="AR132" i="1"/>
  <c r="AT132" i="1" s="1"/>
  <c r="AR125" i="1"/>
  <c r="AT125" i="1" s="1"/>
  <c r="AR119" i="1"/>
  <c r="AT119" i="1" s="1"/>
  <c r="AR142" i="1"/>
  <c r="AT142" i="1" s="1"/>
  <c r="AR188" i="1"/>
  <c r="AR180" i="1"/>
  <c r="AT180" i="1" s="1"/>
  <c r="AR202" i="1"/>
  <c r="AT202" i="1" s="1"/>
  <c r="AR200" i="1"/>
  <c r="AT200" i="1" s="1"/>
  <c r="AR198" i="1"/>
  <c r="AT198" i="1" s="1"/>
  <c r="AR181" i="1"/>
  <c r="AR182" i="1"/>
  <c r="AT182" i="1" s="1"/>
  <c r="AR166" i="1"/>
  <c r="AT166" i="1" s="1"/>
  <c r="AR165" i="1"/>
  <c r="AR157" i="1"/>
  <c r="AR175" i="1"/>
  <c r="AT175" i="1" s="1"/>
  <c r="AR170" i="1"/>
  <c r="AT170" i="1" s="1"/>
  <c r="AR168" i="1"/>
  <c r="AT168" i="1" s="1"/>
  <c r="AR137" i="1"/>
  <c r="AT137" i="1" s="1"/>
  <c r="AR127" i="1"/>
  <c r="AT127" i="1" s="1"/>
  <c r="AR126" i="1"/>
  <c r="AT126" i="1" s="1"/>
  <c r="AR108" i="1"/>
  <c r="AR98" i="1"/>
  <c r="AR93" i="1"/>
  <c r="AT93" i="1" s="1"/>
  <c r="AR144" i="1"/>
  <c r="AT144" i="1" s="1"/>
  <c r="AR139" i="1"/>
  <c r="AT139" i="1" s="1"/>
  <c r="AR136" i="1"/>
  <c r="AT136" i="1" s="1"/>
  <c r="AR135" i="1"/>
  <c r="AT135" i="1" s="1"/>
  <c r="AR123" i="1"/>
  <c r="AT123" i="1" s="1"/>
  <c r="AR117" i="1"/>
  <c r="AR110" i="1"/>
  <c r="AR100" i="1"/>
  <c r="AR95" i="1"/>
  <c r="AT95" i="1" s="1"/>
  <c r="AR81" i="1"/>
  <c r="AR178" i="1"/>
  <c r="AR148" i="1"/>
  <c r="AR105" i="1"/>
  <c r="AR160" i="1"/>
  <c r="AT160" i="1" s="1"/>
  <c r="AR140" i="1"/>
  <c r="AT140" i="1" s="1"/>
  <c r="AR134" i="1"/>
  <c r="AT134" i="1" s="1"/>
  <c r="AR133" i="1"/>
  <c r="AT133" i="1" s="1"/>
  <c r="AR122" i="1"/>
  <c r="AR116" i="1"/>
  <c r="AT116" i="1" s="1"/>
  <c r="AR112" i="1"/>
  <c r="AR86" i="1"/>
  <c r="AT86" i="1" s="1"/>
  <c r="AR83" i="1"/>
  <c r="AT83" i="1" s="1"/>
  <c r="AR176" i="1"/>
  <c r="AT176" i="1" s="1"/>
  <c r="AR153" i="1"/>
  <c r="AT153" i="1" s="1"/>
  <c r="AR145" i="1"/>
  <c r="AT145" i="1" s="1"/>
  <c r="AR131" i="1"/>
  <c r="AT131" i="1" s="1"/>
  <c r="AR115" i="1"/>
  <c r="AT115" i="1" s="1"/>
  <c r="AR169" i="1"/>
  <c r="AT169" i="1" s="1"/>
  <c r="AR163" i="1"/>
  <c r="AT163" i="1" s="1"/>
  <c r="AR149" i="1"/>
  <c r="AT149" i="1" s="1"/>
  <c r="AR146" i="1"/>
  <c r="AT146" i="1" s="1"/>
  <c r="AR69" i="1"/>
  <c r="AT69" i="1" s="1"/>
  <c r="AR64" i="1"/>
  <c r="AT64" i="1" s="1"/>
  <c r="AR130" i="1"/>
  <c r="AT130" i="1" s="1"/>
  <c r="AR113" i="1"/>
  <c r="AR161" i="1"/>
  <c r="AT161" i="1" s="1"/>
  <c r="AR114" i="1"/>
  <c r="AT114" i="1" s="1"/>
  <c r="AR104" i="1"/>
  <c r="AT104" i="1" s="1"/>
  <c r="AR103" i="1"/>
  <c r="AR71" i="1"/>
  <c r="AR66" i="1"/>
  <c r="AT66" i="1" s="1"/>
  <c r="AR60" i="1"/>
  <c r="AT60" i="1" s="1"/>
  <c r="AR55" i="1"/>
  <c r="AT55" i="1" s="1"/>
  <c r="AR158" i="1"/>
  <c r="AT158" i="1" s="1"/>
  <c r="AR141" i="1"/>
  <c r="AT141" i="1" s="1"/>
  <c r="AR118" i="1"/>
  <c r="AT118" i="1" s="1"/>
  <c r="AR76" i="1"/>
  <c r="AT76" i="1" s="1"/>
  <c r="AR109" i="1"/>
  <c r="AT109" i="1" s="1"/>
  <c r="AR147" i="1"/>
  <c r="AR89" i="1"/>
  <c r="AT89" i="1" s="1"/>
  <c r="AR124" i="1"/>
  <c r="AT124" i="1" s="1"/>
  <c r="AR11" i="1"/>
  <c r="AT11" i="1" s="1"/>
  <c r="AR20" i="1"/>
  <c r="AT20" i="1" s="1"/>
  <c r="AR24" i="1"/>
  <c r="AT24" i="1" s="1"/>
  <c r="AR28" i="1"/>
  <c r="AT28" i="1" s="1"/>
  <c r="AR46" i="1"/>
  <c r="AT46" i="1" s="1"/>
  <c r="AR51" i="1"/>
  <c r="AT51" i="1" s="1"/>
  <c r="BJ54" i="1"/>
  <c r="AR70" i="1"/>
  <c r="AT70" i="1" s="1"/>
  <c r="AR79" i="1"/>
  <c r="AT79" i="1" s="1"/>
  <c r="BJ80" i="1"/>
  <c r="AR92" i="1"/>
  <c r="AT92" i="1" s="1"/>
  <c r="M107" i="1"/>
  <c r="BC107" i="1"/>
  <c r="BJ107" i="1" s="1"/>
  <c r="BC111" i="1"/>
  <c r="BJ111" i="1" s="1"/>
  <c r="AD111" i="1"/>
  <c r="AC111" i="1" s="1"/>
  <c r="J111" i="1" s="1"/>
  <c r="BJ112" i="1"/>
  <c r="M120" i="1"/>
  <c r="L120" i="1"/>
  <c r="AR128" i="1"/>
  <c r="AT128" i="1" s="1"/>
  <c r="BJ130" i="1"/>
  <c r="BC109" i="1"/>
  <c r="BJ109" i="1" s="1"/>
  <c r="AR111" i="1"/>
  <c r="M115" i="1"/>
  <c r="L115" i="1"/>
  <c r="M129" i="1"/>
  <c r="L129" i="1"/>
  <c r="AR52" i="1"/>
  <c r="AT52" i="1" s="1"/>
  <c r="M91" i="1"/>
  <c r="L91" i="1"/>
  <c r="M94" i="1"/>
  <c r="L94" i="1"/>
  <c r="AR101" i="1"/>
  <c r="M150" i="1"/>
  <c r="L150" i="1"/>
  <c r="AR5" i="1"/>
  <c r="AT5" i="1" s="1"/>
  <c r="AR18" i="1"/>
  <c r="AT18" i="1" s="1"/>
  <c r="AR47" i="1"/>
  <c r="AT47" i="1" s="1"/>
  <c r="AR59" i="1"/>
  <c r="AT59" i="1" s="1"/>
  <c r="BJ70" i="1"/>
  <c r="AR82" i="1"/>
  <c r="AT82" i="1" s="1"/>
  <c r="AR96" i="1"/>
  <c r="BC102" i="1"/>
  <c r="BJ102" i="1" s="1"/>
  <c r="AR107" i="1"/>
  <c r="AT107" i="1" s="1"/>
  <c r="BJ117" i="1"/>
  <c r="AR129" i="1"/>
  <c r="AT129" i="1" s="1"/>
  <c r="M128" i="1"/>
  <c r="L128" i="1"/>
  <c r="M145" i="1"/>
  <c r="BJ162" i="1"/>
  <c r="BJ99" i="1"/>
  <c r="AD105" i="1"/>
  <c r="AC105" i="1" s="1"/>
  <c r="J105" i="1" s="1"/>
  <c r="BC121" i="1"/>
  <c r="BJ121" i="1" s="1"/>
  <c r="M155" i="1"/>
  <c r="L155" i="1"/>
  <c r="M158" i="1"/>
  <c r="L158" i="1"/>
  <c r="M186" i="1"/>
  <c r="L186" i="1"/>
  <c r="L135" i="1"/>
  <c r="L161" i="1"/>
  <c r="M161" i="1"/>
  <c r="BJ86" i="1"/>
  <c r="BJ140" i="1"/>
  <c r="AD148" i="1"/>
  <c r="AC148" i="1" s="1"/>
  <c r="J148" i="1" s="1"/>
  <c r="BC148" i="1"/>
  <c r="BJ148" i="1" s="1"/>
  <c r="M182" i="1"/>
  <c r="L182" i="1"/>
  <c r="BJ94" i="1"/>
  <c r="AD101" i="1"/>
  <c r="AC101" i="1" s="1"/>
  <c r="J101" i="1" s="1"/>
  <c r="BJ137" i="1"/>
  <c r="L142" i="1"/>
  <c r="M142" i="1"/>
  <c r="AW105" i="1"/>
  <c r="BJ105" i="1" s="1"/>
  <c r="BJ128" i="1"/>
  <c r="M140" i="1"/>
  <c r="L140" i="1"/>
  <c r="AD96" i="1"/>
  <c r="AC96" i="1" s="1"/>
  <c r="J96" i="1" s="1"/>
  <c r="L137" i="1"/>
  <c r="M179" i="1"/>
  <c r="L179" i="1"/>
  <c r="BJ114" i="1"/>
  <c r="BJ125" i="1"/>
  <c r="BJ138" i="1"/>
  <c r="BJ150" i="1"/>
  <c r="L173" i="1"/>
  <c r="BJ173" i="1"/>
  <c r="M176" i="1"/>
  <c r="L176" i="1"/>
  <c r="M190" i="1"/>
  <c r="L190" i="1"/>
  <c r="BJ159" i="1"/>
  <c r="L169" i="1"/>
  <c r="M169" i="1"/>
  <c r="L184" i="1"/>
  <c r="M184" i="1"/>
  <c r="BJ119" i="1"/>
  <c r="M168" i="1"/>
  <c r="L168" i="1"/>
  <c r="BJ183" i="1"/>
  <c r="M201" i="1"/>
  <c r="L201" i="1"/>
  <c r="AD117" i="1"/>
  <c r="AC117" i="1" s="1"/>
  <c r="J117" i="1" s="1"/>
  <c r="BC166" i="1"/>
  <c r="BJ166" i="1" s="1"/>
  <c r="L170" i="1"/>
  <c r="L198" i="1"/>
  <c r="M198" i="1"/>
  <c r="M241" i="1"/>
  <c r="L241" i="1"/>
  <c r="BJ141" i="1"/>
  <c r="L177" i="1"/>
  <c r="M187" i="1"/>
  <c r="L187" i="1"/>
  <c r="BJ145" i="1"/>
  <c r="M146" i="1"/>
  <c r="L146" i="1"/>
  <c r="BJ176" i="1"/>
  <c r="M192" i="1"/>
  <c r="L192" i="1"/>
  <c r="BJ132" i="1"/>
  <c r="M153" i="1"/>
  <c r="L153" i="1"/>
  <c r="BJ153" i="1"/>
  <c r="BJ179" i="1"/>
  <c r="AD188" i="1"/>
  <c r="AC188" i="1" s="1"/>
  <c r="J188" i="1" s="1"/>
  <c r="BC188" i="1"/>
  <c r="BJ188" i="1" s="1"/>
  <c r="BJ197" i="1"/>
  <c r="M233" i="1"/>
  <c r="L233" i="1"/>
  <c r="BJ191" i="1"/>
  <c r="M251" i="1"/>
  <c r="L251" i="1"/>
  <c r="BC187" i="1"/>
  <c r="BJ187" i="1" s="1"/>
  <c r="M219" i="1"/>
  <c r="L219" i="1"/>
  <c r="M246" i="1"/>
  <c r="L246" i="1"/>
  <c r="BJ182" i="1"/>
  <c r="BJ195" i="1"/>
  <c r="M252" i="1"/>
  <c r="L252" i="1"/>
  <c r="AD191" i="1"/>
  <c r="AC191" i="1" s="1"/>
  <c r="J191" i="1" s="1"/>
  <c r="BJ229" i="1"/>
  <c r="BC154" i="1"/>
  <c r="BJ154" i="1" s="1"/>
  <c r="AD154" i="1"/>
  <c r="AC154" i="1" s="1"/>
  <c r="J154" i="1" s="1"/>
  <c r="BJ161" i="1"/>
  <c r="BJ171" i="1"/>
  <c r="BJ180" i="1"/>
  <c r="BJ158" i="1"/>
  <c r="AD172" i="1"/>
  <c r="AC172" i="1" s="1"/>
  <c r="J172" i="1" s="1"/>
  <c r="AD194" i="1"/>
  <c r="AC194" i="1" s="1"/>
  <c r="J194" i="1" s="1"/>
  <c r="BC194" i="1"/>
  <c r="BJ194" i="1" s="1"/>
  <c r="BJ204" i="1"/>
  <c r="M225" i="1"/>
  <c r="L225" i="1"/>
  <c r="M235" i="1"/>
  <c r="L235" i="1"/>
  <c r="BJ192" i="1"/>
  <c r="M207" i="1"/>
  <c r="L207" i="1"/>
  <c r="M217" i="1"/>
  <c r="L217" i="1"/>
  <c r="BJ142" i="1"/>
  <c r="BC167" i="1"/>
  <c r="BJ167" i="1" s="1"/>
  <c r="AD167" i="1"/>
  <c r="AC167" i="1" s="1"/>
  <c r="J167" i="1" s="1"/>
  <c r="BC189" i="1"/>
  <c r="BJ189" i="1" s="1"/>
  <c r="AD189" i="1"/>
  <c r="AC189" i="1" s="1"/>
  <c r="J189" i="1" s="1"/>
  <c r="M232" i="1"/>
  <c r="L232" i="1"/>
  <c r="M249" i="1"/>
  <c r="L249" i="1"/>
  <c r="M222" i="1"/>
  <c r="L222" i="1"/>
  <c r="BJ243" i="1"/>
  <c r="BJ210" i="1"/>
  <c r="BJ232" i="1"/>
  <c r="M238" i="1"/>
  <c r="L238" i="1"/>
  <c r="BJ240" i="1"/>
  <c r="M250" i="1"/>
  <c r="L250" i="1"/>
  <c r="BJ202" i="1"/>
  <c r="M203" i="1"/>
  <c r="L203" i="1"/>
  <c r="BJ203" i="1"/>
  <c r="BJ207" i="1"/>
  <c r="AD211" i="1"/>
  <c r="AC211" i="1" s="1"/>
  <c r="J211" i="1" s="1"/>
  <c r="BJ227" i="1"/>
  <c r="M229" i="1"/>
  <c r="L229" i="1"/>
  <c r="BJ241" i="1"/>
  <c r="BC244" i="1"/>
  <c r="BJ244" i="1" s="1"/>
  <c r="AD244" i="1"/>
  <c r="AC244" i="1" s="1"/>
  <c r="J244" i="1" s="1"/>
  <c r="BJ249" i="1"/>
  <c r="AD183" i="1"/>
  <c r="AC183" i="1" s="1"/>
  <c r="J183" i="1" s="1"/>
  <c r="M202" i="1"/>
  <c r="M213" i="1"/>
  <c r="L213" i="1"/>
  <c r="BJ223" i="1"/>
  <c r="BJ230" i="1"/>
  <c r="M242" i="1"/>
  <c r="L242" i="1"/>
  <c r="BJ246" i="1"/>
  <c r="AD204" i="1"/>
  <c r="AC204" i="1" s="1"/>
  <c r="J204" i="1" s="1"/>
  <c r="BJ206" i="1"/>
  <c r="BC208" i="1"/>
  <c r="BJ208" i="1" s="1"/>
  <c r="AD208" i="1"/>
  <c r="AC208" i="1" s="1"/>
  <c r="J208" i="1" s="1"/>
  <c r="L210" i="1"/>
  <c r="M221" i="1"/>
  <c r="L221" i="1"/>
  <c r="BJ221" i="1"/>
  <c r="BJ228" i="1"/>
  <c r="BJ233" i="1"/>
  <c r="BC236" i="1"/>
  <c r="BJ236" i="1" s="1"/>
  <c r="AD236" i="1"/>
  <c r="AC236" i="1" s="1"/>
  <c r="J236" i="1" s="1"/>
  <c r="L245" i="1"/>
  <c r="AD181" i="1"/>
  <c r="AC181" i="1" s="1"/>
  <c r="J181" i="1" s="1"/>
  <c r="BJ198" i="1"/>
  <c r="BJ238" i="1"/>
  <c r="M248" i="1"/>
  <c r="L248" i="1"/>
  <c r="AD165" i="1"/>
  <c r="AC165" i="1" s="1"/>
  <c r="J165" i="1" s="1"/>
  <c r="L214" i="1"/>
  <c r="BJ231" i="1"/>
  <c r="L237" i="1"/>
  <c r="BJ253" i="1"/>
  <c r="BJ211" i="1"/>
  <c r="M216" i="1"/>
  <c r="L216" i="1"/>
  <c r="M240" i="1"/>
  <c r="L240" i="1"/>
  <c r="AW220" i="1"/>
  <c r="BJ220" i="1" s="1"/>
  <c r="AW226" i="1"/>
  <c r="BJ226" i="1" s="1"/>
  <c r="AD223" i="1"/>
  <c r="AC223" i="1" s="1"/>
  <c r="J223" i="1" s="1"/>
  <c r="AD239" i="1"/>
  <c r="AC239" i="1" s="1"/>
  <c r="J239" i="1" s="1"/>
  <c r="AD247" i="1"/>
  <c r="AC247" i="1" s="1"/>
  <c r="J247" i="1" s="1"/>
  <c r="AD255" i="1"/>
  <c r="AC255" i="1" s="1"/>
  <c r="J255" i="1" s="1"/>
  <c r="AD253" i="1"/>
  <c r="AC253" i="1" s="1"/>
  <c r="J253" i="1" s="1"/>
  <c r="L243" i="1" l="1"/>
  <c r="AT227" i="1"/>
  <c r="AT97" i="1"/>
  <c r="AT99" i="1"/>
  <c r="AU99" i="1" s="1"/>
  <c r="AT173" i="1"/>
  <c r="AT10" i="1"/>
  <c r="L70" i="1"/>
  <c r="L112" i="1"/>
  <c r="M98" i="1"/>
  <c r="L32" i="1"/>
  <c r="M218" i="1"/>
  <c r="L36" i="1"/>
  <c r="AT218" i="1"/>
  <c r="AT32" i="1"/>
  <c r="L230" i="1"/>
  <c r="AT113" i="1"/>
  <c r="AU113" i="1" s="1"/>
  <c r="AT98" i="1"/>
  <c r="AT230" i="1"/>
  <c r="AU230" i="1" s="1"/>
  <c r="L113" i="1"/>
  <c r="L77" i="1"/>
  <c r="L224" i="1"/>
  <c r="L99" i="1"/>
  <c r="AT25" i="1"/>
  <c r="AU25" i="1" s="1"/>
  <c r="AT112" i="1"/>
  <c r="AU112" i="1" s="1"/>
  <c r="AT100" i="1"/>
  <c r="AU100" i="1" s="1"/>
  <c r="AT224" i="1"/>
  <c r="AT81" i="1"/>
  <c r="L157" i="1"/>
  <c r="AT122" i="1"/>
  <c r="AT106" i="1"/>
  <c r="AU106" i="1" s="1"/>
  <c r="AT36" i="1"/>
  <c r="AU36" i="1" s="1"/>
  <c r="AT157" i="1"/>
  <c r="AU157" i="1" s="1"/>
  <c r="AT71" i="1"/>
  <c r="AT7" i="1"/>
  <c r="AU7" i="1" s="1"/>
  <c r="AT110" i="1"/>
  <c r="AU110" i="1" s="1"/>
  <c r="AT174" i="1"/>
  <c r="AU174" i="1" s="1"/>
  <c r="AT254" i="1"/>
  <c r="AT74" i="1"/>
  <c r="AT147" i="1"/>
  <c r="AU147" i="1" s="1"/>
  <c r="L254" i="1"/>
  <c r="AT49" i="1"/>
  <c r="AT108" i="1"/>
  <c r="AU108" i="1" s="1"/>
  <c r="AT103" i="1"/>
  <c r="AU103" i="1" s="1"/>
  <c r="AT111" i="1"/>
  <c r="AU111" i="1" s="1"/>
  <c r="AT178" i="1"/>
  <c r="AU178" i="1" s="1"/>
  <c r="AT220" i="1"/>
  <c r="L178" i="1"/>
  <c r="AT226" i="1"/>
  <c r="AU226" i="1" s="1"/>
  <c r="AT117" i="1"/>
  <c r="AU117" i="1" s="1"/>
  <c r="AT188" i="1"/>
  <c r="AT172" i="1"/>
  <c r="AT194" i="1"/>
  <c r="AU194" i="1" s="1"/>
  <c r="AT77" i="1"/>
  <c r="AU77" i="1" s="1"/>
  <c r="AT183" i="1"/>
  <c r="AU183" i="1" s="1"/>
  <c r="AT223" i="1"/>
  <c r="AU223" i="1" s="1"/>
  <c r="AT211" i="1"/>
  <c r="AU211" i="1" s="1"/>
  <c r="AS31" i="1"/>
  <c r="AT31" i="1"/>
  <c r="AU31" i="1" s="1"/>
  <c r="AT165" i="1"/>
  <c r="AU165" i="1" s="1"/>
  <c r="AT236" i="1"/>
  <c r="AU236" i="1" s="1"/>
  <c r="AT253" i="1"/>
  <c r="AU253" i="1" s="1"/>
  <c r="AT72" i="1"/>
  <c r="AT101" i="1"/>
  <c r="AU101" i="1" s="1"/>
  <c r="AT105" i="1"/>
  <c r="AU105" i="1" s="1"/>
  <c r="AT154" i="1"/>
  <c r="AU154" i="1" s="1"/>
  <c r="AT244" i="1"/>
  <c r="AU244" i="1" s="1"/>
  <c r="AT255" i="1"/>
  <c r="AU255" i="1" s="1"/>
  <c r="AT57" i="1"/>
  <c r="AU57" i="1" s="1"/>
  <c r="AT58" i="1"/>
  <c r="AS16" i="1"/>
  <c r="AT16" i="1"/>
  <c r="AU16" i="1" s="1"/>
  <c r="AT148" i="1"/>
  <c r="AU148" i="1" s="1"/>
  <c r="AS30" i="1"/>
  <c r="AT30" i="1"/>
  <c r="AU30" i="1" s="1"/>
  <c r="AT41" i="1"/>
  <c r="AU41" i="1" s="1"/>
  <c r="AT96" i="1"/>
  <c r="AU96" i="1" s="1"/>
  <c r="AT181" i="1"/>
  <c r="AU181" i="1" s="1"/>
  <c r="AT189" i="1"/>
  <c r="AU189" i="1" s="1"/>
  <c r="AT3" i="1"/>
  <c r="AU3" i="1" s="1"/>
  <c r="AT208" i="1"/>
  <c r="AT239" i="1"/>
  <c r="AU239" i="1" s="1"/>
  <c r="AT35" i="1"/>
  <c r="AU35" i="1" s="1"/>
  <c r="AT78" i="1"/>
  <c r="AU78" i="1" s="1"/>
  <c r="AT247" i="1"/>
  <c r="AU247" i="1" s="1"/>
  <c r="AT73" i="1"/>
  <c r="AU73" i="1" s="1"/>
  <c r="AS8" i="1"/>
  <c r="AT8" i="1"/>
  <c r="AU8" i="1" s="1"/>
  <c r="AT80" i="1"/>
  <c r="AU80" i="1" s="1"/>
  <c r="AT6" i="1"/>
  <c r="AU6" i="1" s="1"/>
  <c r="AT191" i="1"/>
  <c r="AU191" i="1" s="1"/>
  <c r="AT167" i="1"/>
  <c r="AU167" i="1" s="1"/>
  <c r="AT204" i="1"/>
  <c r="AU204" i="1" s="1"/>
  <c r="AT12" i="1"/>
  <c r="AU12" i="1" s="1"/>
  <c r="I29" i="1"/>
  <c r="AT29" i="1"/>
  <c r="AU29" i="1" s="1"/>
  <c r="L174" i="1"/>
  <c r="I77" i="1"/>
  <c r="M38" i="1"/>
  <c r="L114" i="1"/>
  <c r="M53" i="1"/>
  <c r="L26" i="1"/>
  <c r="M60" i="1"/>
  <c r="L227" i="1"/>
  <c r="L29" i="1"/>
  <c r="M220" i="1"/>
  <c r="N29" i="1"/>
  <c r="O29" i="1" s="1"/>
  <c r="I6" i="1"/>
  <c r="K6" i="1" s="1"/>
  <c r="AS80" i="1"/>
  <c r="I80" i="1"/>
  <c r="L25" i="1"/>
  <c r="L106" i="1"/>
  <c r="M106" i="1"/>
  <c r="I31" i="1"/>
  <c r="L10" i="1"/>
  <c r="AS6" i="1"/>
  <c r="L30" i="1"/>
  <c r="M93" i="1"/>
  <c r="L93" i="1"/>
  <c r="L64" i="1"/>
  <c r="M64" i="1"/>
  <c r="AS77" i="1"/>
  <c r="M97" i="1"/>
  <c r="I8" i="1"/>
  <c r="M7" i="1"/>
  <c r="L7" i="1"/>
  <c r="M205" i="1"/>
  <c r="L205" i="1"/>
  <c r="AS29" i="1"/>
  <c r="AS41" i="1"/>
  <c r="I41" i="1"/>
  <c r="N41" i="1" s="1"/>
  <c r="O41" i="1" s="1"/>
  <c r="L81" i="1"/>
  <c r="M81" i="1"/>
  <c r="L226" i="1"/>
  <c r="M226" i="1"/>
  <c r="I28" i="1"/>
  <c r="AU28" i="1"/>
  <c r="AS28" i="1"/>
  <c r="AU168" i="1"/>
  <c r="AS168" i="1"/>
  <c r="I168" i="1"/>
  <c r="L223" i="1"/>
  <c r="M223" i="1"/>
  <c r="M204" i="1"/>
  <c r="L204" i="1"/>
  <c r="M194" i="1"/>
  <c r="L194" i="1"/>
  <c r="AS129" i="1"/>
  <c r="AU129" i="1"/>
  <c r="I129" i="1"/>
  <c r="I11" i="1"/>
  <c r="AU11" i="1"/>
  <c r="AS11" i="1"/>
  <c r="I71" i="1"/>
  <c r="AS71" i="1"/>
  <c r="AU71" i="1"/>
  <c r="AU169" i="1"/>
  <c r="AS169" i="1"/>
  <c r="I169" i="1"/>
  <c r="I134" i="1"/>
  <c r="AU134" i="1"/>
  <c r="AS134" i="1"/>
  <c r="AU135" i="1"/>
  <c r="AS135" i="1"/>
  <c r="I135" i="1"/>
  <c r="AU175" i="1"/>
  <c r="I175" i="1"/>
  <c r="AS175" i="1"/>
  <c r="I119" i="1"/>
  <c r="AU119" i="1"/>
  <c r="AS119" i="1"/>
  <c r="AU243" i="1"/>
  <c r="I243" i="1"/>
  <c r="AS243" i="1"/>
  <c r="AU185" i="1"/>
  <c r="AS185" i="1"/>
  <c r="I185" i="1"/>
  <c r="AS211" i="1"/>
  <c r="I211" i="1"/>
  <c r="AU216" i="1"/>
  <c r="AS216" i="1"/>
  <c r="I216" i="1"/>
  <c r="AU209" i="1"/>
  <c r="AS209" i="1"/>
  <c r="I209" i="1"/>
  <c r="AU231" i="1"/>
  <c r="AS231" i="1"/>
  <c r="I231" i="1"/>
  <c r="AS237" i="1"/>
  <c r="I237" i="1"/>
  <c r="AU237" i="1"/>
  <c r="AS85" i="1"/>
  <c r="AU85" i="1"/>
  <c r="I85" i="1"/>
  <c r="I99" i="1"/>
  <c r="AS99" i="1"/>
  <c r="K30" i="1"/>
  <c r="N30" i="1"/>
  <c r="O30" i="1" s="1"/>
  <c r="AS36" i="1"/>
  <c r="I36" i="1"/>
  <c r="AU84" i="1"/>
  <c r="I84" i="1"/>
  <c r="AS84" i="1"/>
  <c r="I3" i="1"/>
  <c r="AS3" i="1"/>
  <c r="K13" i="1"/>
  <c r="N13" i="1"/>
  <c r="O13" i="1" s="1"/>
  <c r="L247" i="1"/>
  <c r="M247" i="1"/>
  <c r="I60" i="1"/>
  <c r="AU60" i="1"/>
  <c r="AS60" i="1"/>
  <c r="AS194" i="1"/>
  <c r="I194" i="1"/>
  <c r="L110" i="1"/>
  <c r="M110" i="1"/>
  <c r="M181" i="1"/>
  <c r="L181" i="1"/>
  <c r="AU163" i="1"/>
  <c r="AS163" i="1"/>
  <c r="I163" i="1"/>
  <c r="AU142" i="1"/>
  <c r="AS142" i="1"/>
  <c r="I142" i="1"/>
  <c r="AU225" i="1"/>
  <c r="AS225" i="1"/>
  <c r="I225" i="1"/>
  <c r="M74" i="1"/>
  <c r="L74" i="1"/>
  <c r="AS48" i="1"/>
  <c r="I48" i="1"/>
  <c r="AU48" i="1"/>
  <c r="M236" i="1"/>
  <c r="L236" i="1"/>
  <c r="L172" i="1"/>
  <c r="M172" i="1"/>
  <c r="M117" i="1"/>
  <c r="L117" i="1"/>
  <c r="AS124" i="1"/>
  <c r="I124" i="1"/>
  <c r="AU124" i="1"/>
  <c r="AS103" i="1"/>
  <c r="I103" i="1"/>
  <c r="I115" i="1"/>
  <c r="AU115" i="1"/>
  <c r="AS115" i="1"/>
  <c r="AU140" i="1"/>
  <c r="AS140" i="1"/>
  <c r="I140" i="1"/>
  <c r="AS136" i="1"/>
  <c r="I136" i="1"/>
  <c r="AU136" i="1"/>
  <c r="I157" i="1"/>
  <c r="AS157" i="1"/>
  <c r="AS125" i="1"/>
  <c r="I125" i="1"/>
  <c r="AU125" i="1"/>
  <c r="AS120" i="1"/>
  <c r="I120" i="1"/>
  <c r="AU120" i="1"/>
  <c r="AU193" i="1"/>
  <c r="AS193" i="1"/>
  <c r="I193" i="1"/>
  <c r="AU213" i="1"/>
  <c r="AS213" i="1"/>
  <c r="I213" i="1"/>
  <c r="AU241" i="1"/>
  <c r="I241" i="1"/>
  <c r="AS241" i="1"/>
  <c r="AU214" i="1"/>
  <c r="AS214" i="1"/>
  <c r="I214" i="1"/>
  <c r="AU234" i="1"/>
  <c r="AS234" i="1"/>
  <c r="I234" i="1"/>
  <c r="AS245" i="1"/>
  <c r="I245" i="1"/>
  <c r="AU245" i="1"/>
  <c r="AS75" i="1"/>
  <c r="AU75" i="1"/>
  <c r="I75" i="1"/>
  <c r="L72" i="1"/>
  <c r="M72" i="1"/>
  <c r="L57" i="1"/>
  <c r="M57" i="1"/>
  <c r="AS40" i="1"/>
  <c r="I40" i="1"/>
  <c r="AU40" i="1"/>
  <c r="M28" i="1"/>
  <c r="L28" i="1"/>
  <c r="AU23" i="1"/>
  <c r="I23" i="1"/>
  <c r="AS23" i="1"/>
  <c r="AS37" i="1"/>
  <c r="I37" i="1"/>
  <c r="AU37" i="1"/>
  <c r="I78" i="1"/>
  <c r="AS78" i="1"/>
  <c r="L255" i="1"/>
  <c r="M255" i="1"/>
  <c r="AS47" i="1"/>
  <c r="I47" i="1"/>
  <c r="AU47" i="1"/>
  <c r="M167" i="1"/>
  <c r="L167" i="1"/>
  <c r="I18" i="1"/>
  <c r="AU18" i="1"/>
  <c r="AS18" i="1"/>
  <c r="AU122" i="1"/>
  <c r="I122" i="1"/>
  <c r="AS122" i="1"/>
  <c r="AS172" i="1"/>
  <c r="I172" i="1"/>
  <c r="AU172" i="1"/>
  <c r="AS226" i="1"/>
  <c r="I226" i="1"/>
  <c r="AS7" i="1"/>
  <c r="I7" i="1"/>
  <c r="I32" i="1"/>
  <c r="AU32" i="1"/>
  <c r="AS32" i="1"/>
  <c r="I5" i="1"/>
  <c r="AU5" i="1"/>
  <c r="AS5" i="1"/>
  <c r="AU123" i="1"/>
  <c r="I123" i="1"/>
  <c r="AS123" i="1"/>
  <c r="AS183" i="1"/>
  <c r="I183" i="1"/>
  <c r="AS229" i="1"/>
  <c r="I229" i="1"/>
  <c r="AU229" i="1"/>
  <c r="M69" i="1"/>
  <c r="L69" i="1"/>
  <c r="L148" i="1"/>
  <c r="M148" i="1"/>
  <c r="AU107" i="1"/>
  <c r="I107" i="1"/>
  <c r="AS107" i="1"/>
  <c r="AS101" i="1"/>
  <c r="I101" i="1"/>
  <c r="I111" i="1"/>
  <c r="AS111" i="1"/>
  <c r="AU92" i="1"/>
  <c r="AS92" i="1"/>
  <c r="I92" i="1"/>
  <c r="AU89" i="1"/>
  <c r="AS89" i="1"/>
  <c r="I89" i="1"/>
  <c r="I104" i="1"/>
  <c r="AU104" i="1"/>
  <c r="AS104" i="1"/>
  <c r="I131" i="1"/>
  <c r="AU131" i="1"/>
  <c r="AS131" i="1"/>
  <c r="AU160" i="1"/>
  <c r="I160" i="1"/>
  <c r="AS160" i="1"/>
  <c r="AS139" i="1"/>
  <c r="AU139" i="1"/>
  <c r="I139" i="1"/>
  <c r="I165" i="1"/>
  <c r="AS165" i="1"/>
  <c r="AU132" i="1"/>
  <c r="AS132" i="1"/>
  <c r="I132" i="1"/>
  <c r="I155" i="1"/>
  <c r="AU155" i="1"/>
  <c r="AS155" i="1"/>
  <c r="AU195" i="1"/>
  <c r="I195" i="1"/>
  <c r="AS195" i="1"/>
  <c r="I143" i="1"/>
  <c r="AU143" i="1"/>
  <c r="AS143" i="1"/>
  <c r="AU251" i="1"/>
  <c r="I251" i="1"/>
  <c r="AS251" i="1"/>
  <c r="AS236" i="1"/>
  <c r="I236" i="1"/>
  <c r="AU242" i="1"/>
  <c r="AS242" i="1"/>
  <c r="I242" i="1"/>
  <c r="AS253" i="1"/>
  <c r="I253" i="1"/>
  <c r="AU74" i="1"/>
  <c r="AS74" i="1"/>
  <c r="I74" i="1"/>
  <c r="AS106" i="1"/>
  <c r="I106" i="1"/>
  <c r="M108" i="1"/>
  <c r="L108" i="1"/>
  <c r="AS63" i="1"/>
  <c r="AU63" i="1"/>
  <c r="I63" i="1"/>
  <c r="I25" i="1"/>
  <c r="AS25" i="1"/>
  <c r="I22" i="1"/>
  <c r="AU22" i="1"/>
  <c r="AS22" i="1"/>
  <c r="N16" i="1"/>
  <c r="O16" i="1" s="1"/>
  <c r="K16" i="1"/>
  <c r="L58" i="1"/>
  <c r="M58" i="1"/>
  <c r="AS17" i="1"/>
  <c r="I17" i="1"/>
  <c r="AU17" i="1"/>
  <c r="AS73" i="1"/>
  <c r="I73" i="1"/>
  <c r="L208" i="1"/>
  <c r="M208" i="1"/>
  <c r="M211" i="1"/>
  <c r="L211" i="1"/>
  <c r="AU188" i="1"/>
  <c r="AS188" i="1"/>
  <c r="I188" i="1"/>
  <c r="AU254" i="1"/>
  <c r="AS254" i="1"/>
  <c r="I254" i="1"/>
  <c r="AU97" i="1"/>
  <c r="AS97" i="1"/>
  <c r="I97" i="1"/>
  <c r="M244" i="1"/>
  <c r="L244" i="1"/>
  <c r="I20" i="1"/>
  <c r="AU20" i="1"/>
  <c r="AS20" i="1"/>
  <c r="AU170" i="1"/>
  <c r="I170" i="1"/>
  <c r="AS170" i="1"/>
  <c r="AS203" i="1"/>
  <c r="I203" i="1"/>
  <c r="AU203" i="1"/>
  <c r="AS90" i="1"/>
  <c r="I90" i="1"/>
  <c r="AU90" i="1"/>
  <c r="I38" i="1"/>
  <c r="AU38" i="1"/>
  <c r="AS38" i="1"/>
  <c r="L105" i="1"/>
  <c r="M105" i="1"/>
  <c r="I147" i="1"/>
  <c r="AS147" i="1"/>
  <c r="AU114" i="1"/>
  <c r="AS114" i="1"/>
  <c r="I114" i="1"/>
  <c r="AU145" i="1"/>
  <c r="AS145" i="1"/>
  <c r="I145" i="1"/>
  <c r="AS105" i="1"/>
  <c r="I105" i="1"/>
  <c r="AS144" i="1"/>
  <c r="I144" i="1"/>
  <c r="AU144" i="1"/>
  <c r="I166" i="1"/>
  <c r="AS166" i="1"/>
  <c r="AU166" i="1"/>
  <c r="AS138" i="1"/>
  <c r="I138" i="1"/>
  <c r="AU138" i="1"/>
  <c r="AU171" i="1"/>
  <c r="AS171" i="1"/>
  <c r="I171" i="1"/>
  <c r="AU196" i="1"/>
  <c r="I196" i="1"/>
  <c r="AS196" i="1"/>
  <c r="I154" i="1"/>
  <c r="AS154" i="1"/>
  <c r="AU219" i="1"/>
  <c r="AS219" i="1"/>
  <c r="I219" i="1"/>
  <c r="AS244" i="1"/>
  <c r="I244" i="1"/>
  <c r="AS255" i="1"/>
  <c r="I255" i="1"/>
  <c r="I218" i="1"/>
  <c r="AU218" i="1"/>
  <c r="AS218" i="1"/>
  <c r="AS57" i="1"/>
  <c r="I57" i="1"/>
  <c r="AS68" i="1"/>
  <c r="I68" i="1"/>
  <c r="AU68" i="1"/>
  <c r="L78" i="1"/>
  <c r="M78" i="1"/>
  <c r="I12" i="1"/>
  <c r="AS12" i="1"/>
  <c r="AU53" i="1"/>
  <c r="AS53" i="1"/>
  <c r="I53" i="1"/>
  <c r="AS21" i="1"/>
  <c r="I21" i="1"/>
  <c r="AU21" i="1"/>
  <c r="AU9" i="1"/>
  <c r="I9" i="1"/>
  <c r="AS9" i="1"/>
  <c r="AU54" i="1"/>
  <c r="AS54" i="1"/>
  <c r="I54" i="1"/>
  <c r="L101" i="1"/>
  <c r="M101" i="1"/>
  <c r="L165" i="1"/>
  <c r="M165" i="1"/>
  <c r="I96" i="1"/>
  <c r="AS96" i="1"/>
  <c r="I79" i="1"/>
  <c r="AU79" i="1"/>
  <c r="AS79" i="1"/>
  <c r="AU109" i="1"/>
  <c r="I109" i="1"/>
  <c r="AS109" i="1"/>
  <c r="AU161" i="1"/>
  <c r="AS161" i="1"/>
  <c r="I161" i="1"/>
  <c r="AU153" i="1"/>
  <c r="I153" i="1"/>
  <c r="AS153" i="1"/>
  <c r="AS148" i="1"/>
  <c r="I148" i="1"/>
  <c r="I93" i="1"/>
  <c r="AU93" i="1"/>
  <c r="AS93" i="1"/>
  <c r="AS182" i="1"/>
  <c r="I182" i="1"/>
  <c r="AU182" i="1"/>
  <c r="AS150" i="1"/>
  <c r="I150" i="1"/>
  <c r="AU150" i="1"/>
  <c r="I173" i="1"/>
  <c r="AU173" i="1"/>
  <c r="AS173" i="1"/>
  <c r="AU151" i="1"/>
  <c r="AS151" i="1"/>
  <c r="I151" i="1"/>
  <c r="AU162" i="1"/>
  <c r="I162" i="1"/>
  <c r="AS162" i="1"/>
  <c r="AU222" i="1"/>
  <c r="I222" i="1"/>
  <c r="AS222" i="1"/>
  <c r="AU252" i="1"/>
  <c r="I252" i="1"/>
  <c r="AS252" i="1"/>
  <c r="I199" i="1"/>
  <c r="AS199" i="1"/>
  <c r="AU199" i="1"/>
  <c r="I232" i="1"/>
  <c r="AS232" i="1"/>
  <c r="AU232" i="1"/>
  <c r="AS50" i="1"/>
  <c r="AU50" i="1"/>
  <c r="I50" i="1"/>
  <c r="I88" i="1"/>
  <c r="AS88" i="1"/>
  <c r="AU88" i="1"/>
  <c r="AS61" i="1"/>
  <c r="AU61" i="1"/>
  <c r="I61" i="1"/>
  <c r="M82" i="1"/>
  <c r="L82" i="1"/>
  <c r="I19" i="1"/>
  <c r="AU19" i="1"/>
  <c r="AS19" i="1"/>
  <c r="M103" i="1"/>
  <c r="L103" i="1"/>
  <c r="AS4" i="1"/>
  <c r="I4" i="1"/>
  <c r="AU4" i="1"/>
  <c r="M183" i="1"/>
  <c r="L183" i="1"/>
  <c r="M111" i="1"/>
  <c r="L111" i="1"/>
  <c r="AS117" i="1"/>
  <c r="I117" i="1"/>
  <c r="AS14" i="1"/>
  <c r="AU14" i="1"/>
  <c r="I14" i="1"/>
  <c r="AU82" i="1"/>
  <c r="I82" i="1"/>
  <c r="AS82" i="1"/>
  <c r="AU128" i="1"/>
  <c r="AS128" i="1"/>
  <c r="I128" i="1"/>
  <c r="I70" i="1"/>
  <c r="AU70" i="1"/>
  <c r="AS70" i="1"/>
  <c r="AS76" i="1"/>
  <c r="I76" i="1"/>
  <c r="AU76" i="1"/>
  <c r="AS113" i="1"/>
  <c r="I113" i="1"/>
  <c r="AU176" i="1"/>
  <c r="AS176" i="1"/>
  <c r="I176" i="1"/>
  <c r="AS178" i="1"/>
  <c r="I178" i="1"/>
  <c r="I98" i="1"/>
  <c r="AU98" i="1"/>
  <c r="AS98" i="1"/>
  <c r="I181" i="1"/>
  <c r="AS181" i="1"/>
  <c r="AU179" i="1"/>
  <c r="I179" i="1"/>
  <c r="AS179" i="1"/>
  <c r="I184" i="1"/>
  <c r="AU184" i="1"/>
  <c r="AS184" i="1"/>
  <c r="AU156" i="1"/>
  <c r="AS156" i="1"/>
  <c r="I156" i="1"/>
  <c r="I189" i="1"/>
  <c r="AS189" i="1"/>
  <c r="AU227" i="1"/>
  <c r="AS227" i="1"/>
  <c r="I227" i="1"/>
  <c r="AU201" i="1"/>
  <c r="AS201" i="1"/>
  <c r="I201" i="1"/>
  <c r="AU212" i="1"/>
  <c r="I212" i="1"/>
  <c r="AS212" i="1"/>
  <c r="I240" i="1"/>
  <c r="AS240" i="1"/>
  <c r="AU240" i="1"/>
  <c r="AS49" i="1"/>
  <c r="AU49" i="1"/>
  <c r="I49" i="1"/>
  <c r="AU62" i="1"/>
  <c r="I62" i="1"/>
  <c r="AS62" i="1"/>
  <c r="M3" i="1"/>
  <c r="L3" i="1"/>
  <c r="N65" i="1"/>
  <c r="O65" i="1" s="1"/>
  <c r="K65" i="1"/>
  <c r="AU43" i="1"/>
  <c r="I43" i="1"/>
  <c r="AS43" i="1"/>
  <c r="AU10" i="1"/>
  <c r="I10" i="1"/>
  <c r="AS10" i="1"/>
  <c r="I118" i="1"/>
  <c r="AS118" i="1"/>
  <c r="AU118" i="1"/>
  <c r="AU130" i="1"/>
  <c r="I130" i="1"/>
  <c r="AS130" i="1"/>
  <c r="AU83" i="1"/>
  <c r="I83" i="1"/>
  <c r="AS83" i="1"/>
  <c r="AU81" i="1"/>
  <c r="AS81" i="1"/>
  <c r="I81" i="1"/>
  <c r="I108" i="1"/>
  <c r="AS108" i="1"/>
  <c r="AU198" i="1"/>
  <c r="I198" i="1"/>
  <c r="AS198" i="1"/>
  <c r="AU187" i="1"/>
  <c r="AS187" i="1"/>
  <c r="I187" i="1"/>
  <c r="I190" i="1"/>
  <c r="AU190" i="1"/>
  <c r="AS190" i="1"/>
  <c r="AU177" i="1"/>
  <c r="AS177" i="1"/>
  <c r="I177" i="1"/>
  <c r="AU208" i="1"/>
  <c r="AS208" i="1"/>
  <c r="I208" i="1"/>
  <c r="AS230" i="1"/>
  <c r="I230" i="1"/>
  <c r="AU217" i="1"/>
  <c r="AS217" i="1"/>
  <c r="I217" i="1"/>
  <c r="AS239" i="1"/>
  <c r="I239" i="1"/>
  <c r="I250" i="1"/>
  <c r="AU250" i="1"/>
  <c r="AS250" i="1"/>
  <c r="AS42" i="1"/>
  <c r="I42" i="1"/>
  <c r="AU42" i="1"/>
  <c r="I56" i="1"/>
  <c r="AU56" i="1"/>
  <c r="AS56" i="1"/>
  <c r="L73" i="1"/>
  <c r="M73" i="1"/>
  <c r="M49" i="1"/>
  <c r="L49" i="1"/>
  <c r="M95" i="1"/>
  <c r="L95" i="1"/>
  <c r="I94" i="1"/>
  <c r="AS94" i="1"/>
  <c r="AU94" i="1"/>
  <c r="AS45" i="1"/>
  <c r="I45" i="1"/>
  <c r="AU45" i="1"/>
  <c r="N80" i="1"/>
  <c r="O80" i="1" s="1"/>
  <c r="M35" i="1"/>
  <c r="L35" i="1"/>
  <c r="K31" i="1"/>
  <c r="N31" i="1"/>
  <c r="O31" i="1" s="1"/>
  <c r="I55" i="1"/>
  <c r="AS55" i="1"/>
  <c r="AU55" i="1"/>
  <c r="AU149" i="1"/>
  <c r="I149" i="1"/>
  <c r="AS149" i="1"/>
  <c r="AU197" i="1"/>
  <c r="I197" i="1"/>
  <c r="AS197" i="1"/>
  <c r="AS207" i="1"/>
  <c r="I207" i="1"/>
  <c r="AU207" i="1"/>
  <c r="L188" i="1"/>
  <c r="M188" i="1"/>
  <c r="AS66" i="1"/>
  <c r="AU66" i="1"/>
  <c r="I66" i="1"/>
  <c r="AS210" i="1"/>
  <c r="I210" i="1"/>
  <c r="AU210" i="1"/>
  <c r="L154" i="1"/>
  <c r="M154" i="1"/>
  <c r="I51" i="1"/>
  <c r="AU51" i="1"/>
  <c r="AS51" i="1"/>
  <c r="AU141" i="1"/>
  <c r="I141" i="1"/>
  <c r="AS141" i="1"/>
  <c r="AS64" i="1"/>
  <c r="I64" i="1"/>
  <c r="AU64" i="1"/>
  <c r="AU86" i="1"/>
  <c r="I86" i="1"/>
  <c r="AS86" i="1"/>
  <c r="AU95" i="1"/>
  <c r="I95" i="1"/>
  <c r="AS95" i="1"/>
  <c r="AS126" i="1"/>
  <c r="I126" i="1"/>
  <c r="AU126" i="1"/>
  <c r="AS200" i="1"/>
  <c r="I200" i="1"/>
  <c r="AU200" i="1"/>
  <c r="I152" i="1"/>
  <c r="AU152" i="1"/>
  <c r="AS152" i="1"/>
  <c r="AU192" i="1"/>
  <c r="AS192" i="1"/>
  <c r="I192" i="1"/>
  <c r="AS205" i="1"/>
  <c r="AU205" i="1"/>
  <c r="I205" i="1"/>
  <c r="AU221" i="1"/>
  <c r="I221" i="1"/>
  <c r="AS221" i="1"/>
  <c r="AU233" i="1"/>
  <c r="AS233" i="1"/>
  <c r="I233" i="1"/>
  <c r="AU228" i="1"/>
  <c r="I228" i="1"/>
  <c r="AS228" i="1"/>
  <c r="AS247" i="1"/>
  <c r="I247" i="1"/>
  <c r="AS39" i="1"/>
  <c r="I39" i="1"/>
  <c r="AU39" i="1"/>
  <c r="L122" i="1"/>
  <c r="M122" i="1"/>
  <c r="AU121" i="1"/>
  <c r="I121" i="1"/>
  <c r="AS121" i="1"/>
  <c r="M71" i="1"/>
  <c r="L71" i="1"/>
  <c r="AU27" i="1"/>
  <c r="I27" i="1"/>
  <c r="AS27" i="1"/>
  <c r="AU72" i="1"/>
  <c r="AS72" i="1"/>
  <c r="I72" i="1"/>
  <c r="AS87" i="1"/>
  <c r="AU87" i="1"/>
  <c r="I87" i="1"/>
  <c r="I35" i="1"/>
  <c r="AS35" i="1"/>
  <c r="M191" i="1"/>
  <c r="L191" i="1"/>
  <c r="I24" i="1"/>
  <c r="AU24" i="1"/>
  <c r="AS24" i="1"/>
  <c r="AU164" i="1"/>
  <c r="AS164" i="1"/>
  <c r="I164" i="1"/>
  <c r="L147" i="1"/>
  <c r="M147" i="1"/>
  <c r="K41" i="1"/>
  <c r="L239" i="1"/>
  <c r="M239" i="1"/>
  <c r="AS133" i="1"/>
  <c r="AU133" i="1"/>
  <c r="I133" i="1"/>
  <c r="AS174" i="1"/>
  <c r="I174" i="1"/>
  <c r="AS223" i="1"/>
  <c r="I223" i="1"/>
  <c r="M253" i="1"/>
  <c r="L253" i="1"/>
  <c r="M189" i="1"/>
  <c r="L189" i="1"/>
  <c r="L96" i="1"/>
  <c r="M96" i="1"/>
  <c r="I59" i="1"/>
  <c r="AU59" i="1"/>
  <c r="AS59" i="1"/>
  <c r="AS52" i="1"/>
  <c r="AU52" i="1"/>
  <c r="I52" i="1"/>
  <c r="AS46" i="1"/>
  <c r="I46" i="1"/>
  <c r="AU46" i="1"/>
  <c r="I158" i="1"/>
  <c r="AU158" i="1"/>
  <c r="AS158" i="1"/>
  <c r="AU69" i="1"/>
  <c r="I69" i="1"/>
  <c r="AS69" i="1"/>
  <c r="AS112" i="1"/>
  <c r="I112" i="1"/>
  <c r="I100" i="1"/>
  <c r="AS100" i="1"/>
  <c r="AU127" i="1"/>
  <c r="AS127" i="1"/>
  <c r="I127" i="1"/>
  <c r="AS202" i="1"/>
  <c r="I202" i="1"/>
  <c r="AU202" i="1"/>
  <c r="I186" i="1"/>
  <c r="AU186" i="1"/>
  <c r="AS186" i="1"/>
  <c r="AU206" i="1"/>
  <c r="I206" i="1"/>
  <c r="AS206" i="1"/>
  <c r="AS159" i="1"/>
  <c r="I159" i="1"/>
  <c r="AU159" i="1"/>
  <c r="AU224" i="1"/>
  <c r="I224" i="1"/>
  <c r="AS224" i="1"/>
  <c r="AU238" i="1"/>
  <c r="AS238" i="1"/>
  <c r="I238" i="1"/>
  <c r="AU249" i="1"/>
  <c r="AS249" i="1"/>
  <c r="I249" i="1"/>
  <c r="AU220" i="1"/>
  <c r="AS220" i="1"/>
  <c r="I220" i="1"/>
  <c r="AU102" i="1"/>
  <c r="AS102" i="1"/>
  <c r="I102" i="1"/>
  <c r="I91" i="1"/>
  <c r="AU91" i="1"/>
  <c r="AS91" i="1"/>
  <c r="M12" i="1"/>
  <c r="L12" i="1"/>
  <c r="AU26" i="1"/>
  <c r="AS26" i="1"/>
  <c r="I26" i="1"/>
  <c r="AS58" i="1"/>
  <c r="I58" i="1"/>
  <c r="AU58" i="1"/>
  <c r="I67" i="1"/>
  <c r="AU67" i="1"/>
  <c r="AS67" i="1"/>
  <c r="N15" i="1"/>
  <c r="O15" i="1" s="1"/>
  <c r="K15" i="1"/>
  <c r="I34" i="1"/>
  <c r="AU34" i="1"/>
  <c r="AS34" i="1"/>
  <c r="K77" i="1"/>
  <c r="AS146" i="1"/>
  <c r="AU146" i="1"/>
  <c r="I146" i="1"/>
  <c r="AU116" i="1"/>
  <c r="I116" i="1"/>
  <c r="AS116" i="1"/>
  <c r="I110" i="1"/>
  <c r="AS110" i="1"/>
  <c r="I137" i="1"/>
  <c r="AU137" i="1"/>
  <c r="AS137" i="1"/>
  <c r="AU180" i="1"/>
  <c r="I180" i="1"/>
  <c r="AS180" i="1"/>
  <c r="I191" i="1"/>
  <c r="AS191" i="1"/>
  <c r="AU235" i="1"/>
  <c r="I235" i="1"/>
  <c r="AS235" i="1"/>
  <c r="AS167" i="1"/>
  <c r="I167" i="1"/>
  <c r="AU248" i="1"/>
  <c r="AS248" i="1"/>
  <c r="I248" i="1"/>
  <c r="AU246" i="1"/>
  <c r="AS246" i="1"/>
  <c r="I246" i="1"/>
  <c r="AS204" i="1"/>
  <c r="I204" i="1"/>
  <c r="AS215" i="1"/>
  <c r="I215" i="1"/>
  <c r="AU215" i="1"/>
  <c r="M100" i="1"/>
  <c r="L100" i="1"/>
  <c r="I44" i="1"/>
  <c r="AU44" i="1"/>
  <c r="AS44" i="1"/>
  <c r="M56" i="1"/>
  <c r="L56" i="1"/>
  <c r="AU33" i="1"/>
  <c r="I33" i="1"/>
  <c r="AS33" i="1"/>
  <c r="N6" i="1" l="1"/>
  <c r="O6" i="1" s="1"/>
  <c r="K80" i="1"/>
  <c r="N77" i="1"/>
  <c r="O77" i="1" s="1"/>
  <c r="K29" i="1"/>
  <c r="K8" i="1"/>
  <c r="N8" i="1"/>
  <c r="O8" i="1" s="1"/>
  <c r="N84" i="1"/>
  <c r="O84" i="1" s="1"/>
  <c r="K84" i="1"/>
  <c r="N204" i="1"/>
  <c r="O204" i="1" s="1"/>
  <c r="K204" i="1"/>
  <c r="N235" i="1"/>
  <c r="O235" i="1" s="1"/>
  <c r="K235" i="1"/>
  <c r="K110" i="1"/>
  <c r="N110" i="1"/>
  <c r="O110" i="1" s="1"/>
  <c r="K58" i="1"/>
  <c r="N58" i="1"/>
  <c r="O58" i="1" s="1"/>
  <c r="N59" i="1"/>
  <c r="O59" i="1" s="1"/>
  <c r="K59" i="1"/>
  <c r="N86" i="1"/>
  <c r="O86" i="1" s="1"/>
  <c r="K86" i="1"/>
  <c r="K198" i="1"/>
  <c r="N198" i="1"/>
  <c r="O198" i="1" s="1"/>
  <c r="N130" i="1"/>
  <c r="O130" i="1" s="1"/>
  <c r="K130" i="1"/>
  <c r="N240" i="1"/>
  <c r="O240" i="1" s="1"/>
  <c r="K240" i="1"/>
  <c r="N189" i="1"/>
  <c r="O189" i="1" s="1"/>
  <c r="K189" i="1"/>
  <c r="N181" i="1"/>
  <c r="O181" i="1" s="1"/>
  <c r="K181" i="1"/>
  <c r="N4" i="1"/>
  <c r="O4" i="1" s="1"/>
  <c r="K4" i="1"/>
  <c r="K148" i="1"/>
  <c r="N148" i="1"/>
  <c r="O148" i="1" s="1"/>
  <c r="K114" i="1"/>
  <c r="N114" i="1"/>
  <c r="O114" i="1" s="1"/>
  <c r="N90" i="1"/>
  <c r="O90" i="1" s="1"/>
  <c r="K90" i="1"/>
  <c r="K106" i="1"/>
  <c r="N106" i="1"/>
  <c r="O106" i="1" s="1"/>
  <c r="N236" i="1"/>
  <c r="O236" i="1" s="1"/>
  <c r="K236" i="1"/>
  <c r="K92" i="1"/>
  <c r="N92" i="1"/>
  <c r="O92" i="1" s="1"/>
  <c r="N23" i="1"/>
  <c r="O23" i="1" s="1"/>
  <c r="K23" i="1"/>
  <c r="N241" i="1"/>
  <c r="O241" i="1" s="1"/>
  <c r="K241" i="1"/>
  <c r="K125" i="1"/>
  <c r="N125" i="1"/>
  <c r="O125" i="1" s="1"/>
  <c r="N119" i="1"/>
  <c r="O119" i="1" s="1"/>
  <c r="K119" i="1"/>
  <c r="N137" i="1"/>
  <c r="O137" i="1" s="1"/>
  <c r="K137" i="1"/>
  <c r="N94" i="1"/>
  <c r="O94" i="1" s="1"/>
  <c r="K94" i="1"/>
  <c r="N113" i="1"/>
  <c r="O113" i="1" s="1"/>
  <c r="K113" i="1"/>
  <c r="N53" i="1"/>
  <c r="O53" i="1" s="1"/>
  <c r="K53" i="1"/>
  <c r="N138" i="1"/>
  <c r="O138" i="1" s="1"/>
  <c r="K138" i="1"/>
  <c r="K195" i="1"/>
  <c r="N195" i="1"/>
  <c r="O195" i="1" s="1"/>
  <c r="N107" i="1"/>
  <c r="O107" i="1" s="1"/>
  <c r="K107" i="1"/>
  <c r="N224" i="1"/>
  <c r="O224" i="1" s="1"/>
  <c r="K224" i="1"/>
  <c r="N208" i="1"/>
  <c r="O208" i="1" s="1"/>
  <c r="K208" i="1"/>
  <c r="N123" i="1"/>
  <c r="O123" i="1" s="1"/>
  <c r="K123" i="1"/>
  <c r="K226" i="1"/>
  <c r="N226" i="1"/>
  <c r="O226" i="1" s="1"/>
  <c r="N75" i="1"/>
  <c r="O75" i="1" s="1"/>
  <c r="K75" i="1"/>
  <c r="K220" i="1"/>
  <c r="N220" i="1"/>
  <c r="O220" i="1" s="1"/>
  <c r="N127" i="1"/>
  <c r="O127" i="1" s="1"/>
  <c r="K127" i="1"/>
  <c r="N133" i="1"/>
  <c r="O133" i="1" s="1"/>
  <c r="K133" i="1"/>
  <c r="K72" i="1"/>
  <c r="N72" i="1"/>
  <c r="O72" i="1" s="1"/>
  <c r="K152" i="1"/>
  <c r="N152" i="1"/>
  <c r="O152" i="1" s="1"/>
  <c r="N197" i="1"/>
  <c r="O197" i="1" s="1"/>
  <c r="K197" i="1"/>
  <c r="N250" i="1"/>
  <c r="O250" i="1" s="1"/>
  <c r="K250" i="1"/>
  <c r="K156" i="1"/>
  <c r="N156" i="1"/>
  <c r="O156" i="1" s="1"/>
  <c r="N14" i="1"/>
  <c r="O14" i="1" s="1"/>
  <c r="K14" i="1"/>
  <c r="K252" i="1"/>
  <c r="N252" i="1"/>
  <c r="O252" i="1" s="1"/>
  <c r="N97" i="1"/>
  <c r="O97" i="1" s="1"/>
  <c r="K97" i="1"/>
  <c r="N160" i="1"/>
  <c r="O160" i="1" s="1"/>
  <c r="K160" i="1"/>
  <c r="N47" i="1"/>
  <c r="O47" i="1" s="1"/>
  <c r="K47" i="1"/>
  <c r="K115" i="1"/>
  <c r="N115" i="1"/>
  <c r="O115" i="1" s="1"/>
  <c r="N163" i="1"/>
  <c r="O163" i="1" s="1"/>
  <c r="K163" i="1"/>
  <c r="N60" i="1"/>
  <c r="O60" i="1" s="1"/>
  <c r="K60" i="1"/>
  <c r="K36" i="1"/>
  <c r="N36" i="1"/>
  <c r="O36" i="1" s="1"/>
  <c r="N211" i="1"/>
  <c r="O211" i="1" s="1"/>
  <c r="K211" i="1"/>
  <c r="N102" i="1"/>
  <c r="O102" i="1" s="1"/>
  <c r="K102" i="1"/>
  <c r="K207" i="1"/>
  <c r="N207" i="1"/>
  <c r="O207" i="1" s="1"/>
  <c r="N109" i="1"/>
  <c r="O109" i="1" s="1"/>
  <c r="K109" i="1"/>
  <c r="K38" i="1"/>
  <c r="N38" i="1"/>
  <c r="O38" i="1" s="1"/>
  <c r="N216" i="1"/>
  <c r="O216" i="1" s="1"/>
  <c r="K216" i="1"/>
  <c r="N246" i="1"/>
  <c r="O246" i="1" s="1"/>
  <c r="K246" i="1"/>
  <c r="K26" i="1"/>
  <c r="N26" i="1"/>
  <c r="O26" i="1" s="1"/>
  <c r="K159" i="1"/>
  <c r="N159" i="1"/>
  <c r="O159" i="1" s="1"/>
  <c r="N210" i="1"/>
  <c r="O210" i="1" s="1"/>
  <c r="K210" i="1"/>
  <c r="K239" i="1"/>
  <c r="N239" i="1"/>
  <c r="O239" i="1" s="1"/>
  <c r="N177" i="1"/>
  <c r="O177" i="1" s="1"/>
  <c r="K177" i="1"/>
  <c r="K212" i="1"/>
  <c r="N212" i="1"/>
  <c r="O212" i="1" s="1"/>
  <c r="K76" i="1"/>
  <c r="N76" i="1"/>
  <c r="O76" i="1" s="1"/>
  <c r="N88" i="1"/>
  <c r="O88" i="1" s="1"/>
  <c r="K88" i="1"/>
  <c r="N173" i="1"/>
  <c r="O173" i="1" s="1"/>
  <c r="K173" i="1"/>
  <c r="N79" i="1"/>
  <c r="O79" i="1" s="1"/>
  <c r="K79" i="1"/>
  <c r="K9" i="1"/>
  <c r="N9" i="1"/>
  <c r="O9" i="1" s="1"/>
  <c r="N218" i="1"/>
  <c r="O218" i="1" s="1"/>
  <c r="K218" i="1"/>
  <c r="N154" i="1"/>
  <c r="O154" i="1" s="1"/>
  <c r="K154" i="1"/>
  <c r="N166" i="1"/>
  <c r="O166" i="1" s="1"/>
  <c r="K166" i="1"/>
  <c r="K73" i="1"/>
  <c r="N73" i="1"/>
  <c r="O73" i="1" s="1"/>
  <c r="N155" i="1"/>
  <c r="O155" i="1" s="1"/>
  <c r="K155" i="1"/>
  <c r="K172" i="1"/>
  <c r="N172" i="1"/>
  <c r="O172" i="1" s="1"/>
  <c r="N213" i="1"/>
  <c r="O213" i="1" s="1"/>
  <c r="K213" i="1"/>
  <c r="N237" i="1"/>
  <c r="O237" i="1" s="1"/>
  <c r="K237" i="1"/>
  <c r="N175" i="1"/>
  <c r="O175" i="1" s="1"/>
  <c r="K175" i="1"/>
  <c r="N67" i="1"/>
  <c r="O67" i="1" s="1"/>
  <c r="K67" i="1"/>
  <c r="N121" i="1"/>
  <c r="O121" i="1" s="1"/>
  <c r="K121" i="1"/>
  <c r="N93" i="1"/>
  <c r="O93" i="1" s="1"/>
  <c r="K93" i="1"/>
  <c r="N191" i="1"/>
  <c r="O191" i="1" s="1"/>
  <c r="K191" i="1"/>
  <c r="N116" i="1"/>
  <c r="O116" i="1" s="1"/>
  <c r="K116" i="1"/>
  <c r="K158" i="1"/>
  <c r="N158" i="1"/>
  <c r="O158" i="1" s="1"/>
  <c r="K39" i="1"/>
  <c r="N39" i="1"/>
  <c r="O39" i="1" s="1"/>
  <c r="N221" i="1"/>
  <c r="O221" i="1" s="1"/>
  <c r="K221" i="1"/>
  <c r="N200" i="1"/>
  <c r="O200" i="1" s="1"/>
  <c r="K200" i="1"/>
  <c r="K64" i="1"/>
  <c r="N64" i="1"/>
  <c r="O64" i="1" s="1"/>
  <c r="K98" i="1"/>
  <c r="N98" i="1"/>
  <c r="O98" i="1" s="1"/>
  <c r="K50" i="1"/>
  <c r="N50" i="1"/>
  <c r="O50" i="1" s="1"/>
  <c r="N12" i="1"/>
  <c r="O12" i="1" s="1"/>
  <c r="K12" i="1"/>
  <c r="K255" i="1"/>
  <c r="N255" i="1"/>
  <c r="O255" i="1" s="1"/>
  <c r="N203" i="1"/>
  <c r="O203" i="1" s="1"/>
  <c r="K203" i="1"/>
  <c r="K22" i="1"/>
  <c r="N22" i="1"/>
  <c r="O22" i="1" s="1"/>
  <c r="K74" i="1"/>
  <c r="N74" i="1"/>
  <c r="O74" i="1" s="1"/>
  <c r="K132" i="1"/>
  <c r="N132" i="1"/>
  <c r="O132" i="1" s="1"/>
  <c r="K5" i="1"/>
  <c r="N5" i="1"/>
  <c r="O5" i="1" s="1"/>
  <c r="N245" i="1"/>
  <c r="O245" i="1" s="1"/>
  <c r="K245" i="1"/>
  <c r="N103" i="1"/>
  <c r="O103" i="1" s="1"/>
  <c r="K103" i="1"/>
  <c r="K48" i="1"/>
  <c r="N48" i="1"/>
  <c r="O48" i="1" s="1"/>
  <c r="K71" i="1"/>
  <c r="N71" i="1"/>
  <c r="O71" i="1" s="1"/>
  <c r="N34" i="1"/>
  <c r="O34" i="1" s="1"/>
  <c r="K34" i="1"/>
  <c r="N249" i="1"/>
  <c r="O249" i="1" s="1"/>
  <c r="K249" i="1"/>
  <c r="K24" i="1"/>
  <c r="N24" i="1"/>
  <c r="O24" i="1" s="1"/>
  <c r="K66" i="1"/>
  <c r="N66" i="1"/>
  <c r="O66" i="1" s="1"/>
  <c r="N149" i="1"/>
  <c r="O149" i="1" s="1"/>
  <c r="K149" i="1"/>
  <c r="N108" i="1"/>
  <c r="O108" i="1" s="1"/>
  <c r="K108" i="1"/>
  <c r="K118" i="1"/>
  <c r="N118" i="1"/>
  <c r="O118" i="1" s="1"/>
  <c r="N201" i="1"/>
  <c r="O201" i="1" s="1"/>
  <c r="K201" i="1"/>
  <c r="N178" i="1"/>
  <c r="O178" i="1" s="1"/>
  <c r="K178" i="1"/>
  <c r="N222" i="1"/>
  <c r="O222" i="1" s="1"/>
  <c r="K222" i="1"/>
  <c r="N150" i="1"/>
  <c r="O150" i="1" s="1"/>
  <c r="K150" i="1"/>
  <c r="N153" i="1"/>
  <c r="O153" i="1" s="1"/>
  <c r="K153" i="1"/>
  <c r="N196" i="1"/>
  <c r="O196" i="1" s="1"/>
  <c r="K196" i="1"/>
  <c r="N144" i="1"/>
  <c r="O144" i="1" s="1"/>
  <c r="K144" i="1"/>
  <c r="N254" i="1"/>
  <c r="O254" i="1" s="1"/>
  <c r="K254" i="1"/>
  <c r="N251" i="1"/>
  <c r="O251" i="1" s="1"/>
  <c r="K251" i="1"/>
  <c r="N157" i="1"/>
  <c r="O157" i="1" s="1"/>
  <c r="K157" i="1"/>
  <c r="K231" i="1"/>
  <c r="N231" i="1"/>
  <c r="O231" i="1" s="1"/>
  <c r="K185" i="1"/>
  <c r="N185" i="1"/>
  <c r="O185" i="1" s="1"/>
  <c r="N135" i="1"/>
  <c r="O135" i="1" s="1"/>
  <c r="K135" i="1"/>
  <c r="N168" i="1"/>
  <c r="O168" i="1" s="1"/>
  <c r="K168" i="1"/>
  <c r="N44" i="1"/>
  <c r="O44" i="1" s="1"/>
  <c r="K44" i="1"/>
  <c r="N248" i="1"/>
  <c r="O248" i="1" s="1"/>
  <c r="K248" i="1"/>
  <c r="N146" i="1"/>
  <c r="O146" i="1" s="1"/>
  <c r="K146" i="1"/>
  <c r="N206" i="1"/>
  <c r="O206" i="1" s="1"/>
  <c r="K206" i="1"/>
  <c r="K100" i="1"/>
  <c r="N100" i="1"/>
  <c r="O100" i="1" s="1"/>
  <c r="K46" i="1"/>
  <c r="N46" i="1"/>
  <c r="O46" i="1" s="1"/>
  <c r="N27" i="1"/>
  <c r="O27" i="1" s="1"/>
  <c r="K27" i="1"/>
  <c r="K247" i="1"/>
  <c r="N247" i="1"/>
  <c r="O247" i="1" s="1"/>
  <c r="K205" i="1"/>
  <c r="N205" i="1"/>
  <c r="O205" i="1" s="1"/>
  <c r="K217" i="1"/>
  <c r="N217" i="1"/>
  <c r="O217" i="1" s="1"/>
  <c r="K81" i="1"/>
  <c r="N81" i="1"/>
  <c r="O81" i="1" s="1"/>
  <c r="N62" i="1"/>
  <c r="O62" i="1" s="1"/>
  <c r="K62" i="1"/>
  <c r="N117" i="1"/>
  <c r="O117" i="1" s="1"/>
  <c r="K117" i="1"/>
  <c r="N96" i="1"/>
  <c r="O96" i="1" s="1"/>
  <c r="K96" i="1"/>
  <c r="K21" i="1"/>
  <c r="N21" i="1"/>
  <c r="O21" i="1" s="1"/>
  <c r="K147" i="1"/>
  <c r="N147" i="1"/>
  <c r="O147" i="1" s="1"/>
  <c r="K25" i="1"/>
  <c r="N25" i="1"/>
  <c r="O25" i="1" s="1"/>
  <c r="K131" i="1"/>
  <c r="N131" i="1"/>
  <c r="O131" i="1" s="1"/>
  <c r="N111" i="1"/>
  <c r="O111" i="1" s="1"/>
  <c r="K111" i="1"/>
  <c r="N229" i="1"/>
  <c r="O229" i="1" s="1"/>
  <c r="K229" i="1"/>
  <c r="K122" i="1"/>
  <c r="N122" i="1"/>
  <c r="O122" i="1" s="1"/>
  <c r="N40" i="1"/>
  <c r="O40" i="1" s="1"/>
  <c r="K40" i="1"/>
  <c r="K234" i="1"/>
  <c r="N234" i="1"/>
  <c r="O234" i="1" s="1"/>
  <c r="K193" i="1"/>
  <c r="N193" i="1"/>
  <c r="O193" i="1" s="1"/>
  <c r="K142" i="1"/>
  <c r="N142" i="1"/>
  <c r="O142" i="1" s="1"/>
  <c r="K180" i="1"/>
  <c r="N180" i="1"/>
  <c r="O180" i="1" s="1"/>
  <c r="N126" i="1"/>
  <c r="O126" i="1" s="1"/>
  <c r="K126" i="1"/>
  <c r="N141" i="1"/>
  <c r="O141" i="1" s="1"/>
  <c r="K141" i="1"/>
  <c r="N45" i="1"/>
  <c r="O45" i="1" s="1"/>
  <c r="K45" i="1"/>
  <c r="N10" i="1"/>
  <c r="O10" i="1" s="1"/>
  <c r="K10" i="1"/>
  <c r="N184" i="1"/>
  <c r="O184" i="1" s="1"/>
  <c r="K184" i="1"/>
  <c r="N70" i="1"/>
  <c r="O70" i="1" s="1"/>
  <c r="K70" i="1"/>
  <c r="K19" i="1"/>
  <c r="N19" i="1"/>
  <c r="O19" i="1" s="1"/>
  <c r="K161" i="1"/>
  <c r="N161" i="1"/>
  <c r="O161" i="1" s="1"/>
  <c r="N244" i="1"/>
  <c r="O244" i="1" s="1"/>
  <c r="K244" i="1"/>
  <c r="N171" i="1"/>
  <c r="O171" i="1" s="1"/>
  <c r="K171" i="1"/>
  <c r="N170" i="1"/>
  <c r="O170" i="1" s="1"/>
  <c r="K170" i="1"/>
  <c r="N17" i="1"/>
  <c r="O17" i="1" s="1"/>
  <c r="K17" i="1"/>
  <c r="N101" i="1"/>
  <c r="O101" i="1" s="1"/>
  <c r="K101" i="1"/>
  <c r="N32" i="1"/>
  <c r="O32" i="1" s="1"/>
  <c r="K32" i="1"/>
  <c r="K78" i="1"/>
  <c r="N78" i="1"/>
  <c r="O78" i="1" s="1"/>
  <c r="K136" i="1"/>
  <c r="N136" i="1"/>
  <c r="O136" i="1" s="1"/>
  <c r="N124" i="1"/>
  <c r="O124" i="1" s="1"/>
  <c r="K124" i="1"/>
  <c r="K11" i="1"/>
  <c r="N11" i="1"/>
  <c r="O11" i="1" s="1"/>
  <c r="K57" i="1"/>
  <c r="N57" i="1"/>
  <c r="O57" i="1" s="1"/>
  <c r="N20" i="1"/>
  <c r="O20" i="1" s="1"/>
  <c r="K20" i="1"/>
  <c r="K169" i="1"/>
  <c r="N169" i="1"/>
  <c r="O169" i="1" s="1"/>
  <c r="N33" i="1"/>
  <c r="O33" i="1" s="1"/>
  <c r="K33" i="1"/>
  <c r="N69" i="1"/>
  <c r="O69" i="1" s="1"/>
  <c r="K69" i="1"/>
  <c r="K164" i="1"/>
  <c r="N164" i="1"/>
  <c r="O164" i="1" s="1"/>
  <c r="N233" i="1"/>
  <c r="O233" i="1" s="1"/>
  <c r="K233" i="1"/>
  <c r="N82" i="1"/>
  <c r="O82" i="1" s="1"/>
  <c r="K82" i="1"/>
  <c r="K199" i="1"/>
  <c r="N199" i="1"/>
  <c r="O199" i="1" s="1"/>
  <c r="N238" i="1"/>
  <c r="O238" i="1" s="1"/>
  <c r="K238" i="1"/>
  <c r="K112" i="1"/>
  <c r="N112" i="1"/>
  <c r="O112" i="1" s="1"/>
  <c r="N52" i="1"/>
  <c r="O52" i="1" s="1"/>
  <c r="K52" i="1"/>
  <c r="K223" i="1"/>
  <c r="N223" i="1"/>
  <c r="O223" i="1" s="1"/>
  <c r="N56" i="1"/>
  <c r="O56" i="1" s="1"/>
  <c r="K56" i="1"/>
  <c r="N190" i="1"/>
  <c r="O190" i="1" s="1"/>
  <c r="K190" i="1"/>
  <c r="N49" i="1"/>
  <c r="O49" i="1" s="1"/>
  <c r="K49" i="1"/>
  <c r="N227" i="1"/>
  <c r="O227" i="1" s="1"/>
  <c r="K227" i="1"/>
  <c r="N176" i="1"/>
  <c r="O176" i="1" s="1"/>
  <c r="K176" i="1"/>
  <c r="N128" i="1"/>
  <c r="O128" i="1" s="1"/>
  <c r="K128" i="1"/>
  <c r="N162" i="1"/>
  <c r="O162" i="1" s="1"/>
  <c r="K162" i="1"/>
  <c r="N182" i="1"/>
  <c r="O182" i="1" s="1"/>
  <c r="K182" i="1"/>
  <c r="K68" i="1"/>
  <c r="N68" i="1"/>
  <c r="O68" i="1" s="1"/>
  <c r="K105" i="1"/>
  <c r="N105" i="1"/>
  <c r="O105" i="1" s="1"/>
  <c r="K188" i="1"/>
  <c r="N188" i="1"/>
  <c r="O188" i="1" s="1"/>
  <c r="K63" i="1"/>
  <c r="N63" i="1"/>
  <c r="O63" i="1" s="1"/>
  <c r="N253" i="1"/>
  <c r="O253" i="1" s="1"/>
  <c r="K253" i="1"/>
  <c r="K7" i="1"/>
  <c r="N7" i="1"/>
  <c r="O7" i="1" s="1"/>
  <c r="N225" i="1"/>
  <c r="O225" i="1" s="1"/>
  <c r="K225" i="1"/>
  <c r="K209" i="1"/>
  <c r="N209" i="1"/>
  <c r="O209" i="1" s="1"/>
  <c r="K129" i="1"/>
  <c r="N129" i="1"/>
  <c r="O129" i="1" s="1"/>
  <c r="K174" i="1"/>
  <c r="N174" i="1"/>
  <c r="O174" i="1" s="1"/>
  <c r="N87" i="1"/>
  <c r="O87" i="1" s="1"/>
  <c r="K87" i="1"/>
  <c r="N51" i="1"/>
  <c r="O51" i="1" s="1"/>
  <c r="K51" i="1"/>
  <c r="K54" i="1"/>
  <c r="N54" i="1"/>
  <c r="O54" i="1" s="1"/>
  <c r="K85" i="1"/>
  <c r="N85" i="1"/>
  <c r="O85" i="1" s="1"/>
  <c r="N202" i="1"/>
  <c r="O202" i="1" s="1"/>
  <c r="K202" i="1"/>
  <c r="K192" i="1"/>
  <c r="N192" i="1"/>
  <c r="O192" i="1" s="1"/>
  <c r="K55" i="1"/>
  <c r="N55" i="1"/>
  <c r="O55" i="1" s="1"/>
  <c r="N230" i="1"/>
  <c r="O230" i="1" s="1"/>
  <c r="K230" i="1"/>
  <c r="N187" i="1"/>
  <c r="O187" i="1" s="1"/>
  <c r="K187" i="1"/>
  <c r="N179" i="1"/>
  <c r="O179" i="1" s="1"/>
  <c r="K179" i="1"/>
  <c r="N232" i="1"/>
  <c r="O232" i="1" s="1"/>
  <c r="K232" i="1"/>
  <c r="N143" i="1"/>
  <c r="O143" i="1" s="1"/>
  <c r="K143" i="1"/>
  <c r="N165" i="1"/>
  <c r="O165" i="1" s="1"/>
  <c r="K165" i="1"/>
  <c r="N104" i="1"/>
  <c r="O104" i="1" s="1"/>
  <c r="K104" i="1"/>
  <c r="N183" i="1"/>
  <c r="O183" i="1" s="1"/>
  <c r="K183" i="1"/>
  <c r="N214" i="1"/>
  <c r="O214" i="1" s="1"/>
  <c r="K214" i="1"/>
  <c r="N140" i="1"/>
  <c r="O140" i="1" s="1"/>
  <c r="K140" i="1"/>
  <c r="N194" i="1"/>
  <c r="O194" i="1" s="1"/>
  <c r="K194" i="1"/>
  <c r="N3" i="1"/>
  <c r="O3" i="1" s="1"/>
  <c r="K3" i="1"/>
  <c r="N243" i="1"/>
  <c r="O243" i="1" s="1"/>
  <c r="K243" i="1"/>
  <c r="N215" i="1"/>
  <c r="O215" i="1" s="1"/>
  <c r="K215" i="1"/>
  <c r="N167" i="1"/>
  <c r="O167" i="1" s="1"/>
  <c r="K167" i="1"/>
  <c r="N91" i="1"/>
  <c r="O91" i="1" s="1"/>
  <c r="K91" i="1"/>
  <c r="N186" i="1"/>
  <c r="O186" i="1" s="1"/>
  <c r="K186" i="1"/>
  <c r="N35" i="1"/>
  <c r="O35" i="1" s="1"/>
  <c r="K35" i="1"/>
  <c r="K228" i="1"/>
  <c r="N228" i="1"/>
  <c r="O228" i="1" s="1"/>
  <c r="K95" i="1"/>
  <c r="N95" i="1"/>
  <c r="O95" i="1" s="1"/>
  <c r="N42" i="1"/>
  <c r="O42" i="1" s="1"/>
  <c r="K42" i="1"/>
  <c r="K83" i="1"/>
  <c r="N83" i="1"/>
  <c r="O83" i="1" s="1"/>
  <c r="N43" i="1"/>
  <c r="O43" i="1" s="1"/>
  <c r="K43" i="1"/>
  <c r="N61" i="1"/>
  <c r="O61" i="1" s="1"/>
  <c r="K61" i="1"/>
  <c r="K151" i="1"/>
  <c r="N151" i="1"/>
  <c r="O151" i="1" s="1"/>
  <c r="N219" i="1"/>
  <c r="O219" i="1" s="1"/>
  <c r="K219" i="1"/>
  <c r="N145" i="1"/>
  <c r="O145" i="1" s="1"/>
  <c r="K145" i="1"/>
  <c r="K242" i="1"/>
  <c r="N242" i="1"/>
  <c r="O242" i="1" s="1"/>
  <c r="N139" i="1"/>
  <c r="O139" i="1" s="1"/>
  <c r="K139" i="1"/>
  <c r="K89" i="1"/>
  <c r="N89" i="1"/>
  <c r="O89" i="1" s="1"/>
  <c r="K18" i="1"/>
  <c r="N18" i="1"/>
  <c r="O18" i="1" s="1"/>
  <c r="N37" i="1"/>
  <c r="O37" i="1" s="1"/>
  <c r="K37" i="1"/>
  <c r="K120" i="1"/>
  <c r="N120" i="1"/>
  <c r="O120" i="1" s="1"/>
  <c r="N99" i="1"/>
  <c r="O99" i="1" s="1"/>
  <c r="K99" i="1"/>
  <c r="N134" i="1"/>
  <c r="O134" i="1" s="1"/>
  <c r="K134" i="1"/>
  <c r="N28" i="1"/>
  <c r="O28" i="1" s="1"/>
  <c r="K28" i="1"/>
</calcChain>
</file>

<file path=xl/sharedStrings.xml><?xml version="1.0" encoding="utf-8"?>
<sst xmlns="http://schemas.openxmlformats.org/spreadsheetml/2006/main" count="821" uniqueCount="156">
  <si>
    <t>Date</t>
  </si>
  <si>
    <t>Customer Name</t>
  </si>
  <si>
    <t>SITE</t>
  </si>
  <si>
    <t>Grade</t>
  </si>
  <si>
    <t>Qty</t>
  </si>
  <si>
    <t>VAC QTY</t>
  </si>
  <si>
    <t>Mix Code</t>
  </si>
  <si>
    <t xml:space="preserve"> Base price</t>
  </si>
  <si>
    <t>Optimized Mix RM Cost</t>
  </si>
  <si>
    <t>Optimized Mix C1</t>
  </si>
  <si>
    <t>RM/Sales ratio Optimized Mix</t>
  </si>
  <si>
    <t>RM/Sales ratio Customer Mix</t>
  </si>
  <si>
    <t>%  Optimized</t>
  </si>
  <si>
    <t>SAVINGS Rs per Cum</t>
  </si>
  <si>
    <t>ICRETE</t>
  </si>
  <si>
    <t>R sand</t>
  </si>
  <si>
    <t xml:space="preserve"> Customer Approved RM COST</t>
  </si>
  <si>
    <t>Total Material Cost</t>
  </si>
  <si>
    <t xml:space="preserve">AVG CEMENT </t>
  </si>
  <si>
    <t xml:space="preserve"> AVG GGBS</t>
  </si>
  <si>
    <t>AVG PPC</t>
  </si>
  <si>
    <t xml:space="preserve">10 mm </t>
  </si>
  <si>
    <t>20 mm</t>
  </si>
  <si>
    <t>C/S Sand</t>
  </si>
  <si>
    <t>MPC</t>
  </si>
  <si>
    <t>HPC</t>
  </si>
  <si>
    <t>Water</t>
  </si>
  <si>
    <t>MID PCE CAC</t>
  </si>
  <si>
    <t>Others</t>
  </si>
  <si>
    <t>DENSITY</t>
  </si>
  <si>
    <t>EMPORIS GLOBAL</t>
  </si>
  <si>
    <t>M10</t>
  </si>
  <si>
    <t>M10IMGDG001</t>
  </si>
  <si>
    <t>WIBRO CONSTRUCTIONS</t>
  </si>
  <si>
    <t>M15</t>
  </si>
  <si>
    <t>M15IMGDG057</t>
  </si>
  <si>
    <t>CARRICK BEND REALTY</t>
  </si>
  <si>
    <t>M20</t>
  </si>
  <si>
    <t>M20IMGDG003</t>
  </si>
  <si>
    <t>MANAS DEVELOPERS - MORJIM</t>
  </si>
  <si>
    <t>M25</t>
  </si>
  <si>
    <t>M25IMGDG004</t>
  </si>
  <si>
    <t>MEGAWIDE INFRASTRUCTURES-CELEBI</t>
  </si>
  <si>
    <t>M30</t>
  </si>
  <si>
    <t>M30IMGDG005</t>
  </si>
  <si>
    <t>YKB INFRA</t>
  </si>
  <si>
    <t>M30IMGDG060</t>
  </si>
  <si>
    <t>MEGAWIDE INFRASTRUCTURES</t>
  </si>
  <si>
    <t>M50</t>
  </si>
  <si>
    <t>M50IMGDG042</t>
  </si>
  <si>
    <t>VERTEX INFRA</t>
  </si>
  <si>
    <t>SHRI BALAJI INFRA</t>
  </si>
  <si>
    <t>ISAI SHIKHERIM</t>
  </si>
  <si>
    <t>M30IMGDG068</t>
  </si>
  <si>
    <t>MARIO FERNANDES</t>
  </si>
  <si>
    <t>INNOVATORS</t>
  </si>
  <si>
    <t>TARUN GUPTA</t>
  </si>
  <si>
    <t>TRUEBUILD ENGINEERING</t>
  </si>
  <si>
    <t>M30IMGDG040</t>
  </si>
  <si>
    <t>M30IMGDG067</t>
  </si>
  <si>
    <t>RAJESH CONSTRUCTIONS</t>
  </si>
  <si>
    <t>ASHRAY REAL ESTATE DEVELOPERS</t>
  </si>
  <si>
    <t>BRAMHACORP THEME PARK</t>
  </si>
  <si>
    <t>DEVASHRI NIRMAN</t>
  </si>
  <si>
    <t>M25IMGDG038</t>
  </si>
  <si>
    <t>SHRI BALAJI INFRATECH</t>
  </si>
  <si>
    <t>M35</t>
  </si>
  <si>
    <t>M35IMGDG029</t>
  </si>
  <si>
    <t>H. CANDOLKAR &amp; SONS</t>
  </si>
  <si>
    <t>M15IMGDG053</t>
  </si>
  <si>
    <t>ERECTOR INFRA</t>
  </si>
  <si>
    <t>M25IMGDG064</t>
  </si>
  <si>
    <t>IDC</t>
  </si>
  <si>
    <t>M10IMGDG037</t>
  </si>
  <si>
    <t>M7.5</t>
  </si>
  <si>
    <t>M7.5IMGDG019</t>
  </si>
  <si>
    <t>ADHYA INFRASTRUCTURES</t>
  </si>
  <si>
    <t>M30IMGDG024</t>
  </si>
  <si>
    <t>M30IMGDG035</t>
  </si>
  <si>
    <t>SHAH &amp; ASSOCIATES</t>
  </si>
  <si>
    <t>RAJ HOUSING</t>
  </si>
  <si>
    <t>AD CONSTRUCTIONS</t>
  </si>
  <si>
    <t>M15IMGDG002</t>
  </si>
  <si>
    <t>SUNPARK HOTEL</t>
  </si>
  <si>
    <t>NAHUSH JADHAV</t>
  </si>
  <si>
    <t>OM RUDRA INFRA SERVICES</t>
  </si>
  <si>
    <t>M35IMGDG076</t>
  </si>
  <si>
    <t>KUSHAL ENTERPRISES</t>
  </si>
  <si>
    <t>TARUN GUPTA - VAGATORE</t>
  </si>
  <si>
    <t>BALAJI INFRA</t>
  </si>
  <si>
    <t>SOUTH EAST</t>
  </si>
  <si>
    <t>M30IMGDG006</t>
  </si>
  <si>
    <t>EPCM INFRASTRUCTURES - BIG DADDY</t>
  </si>
  <si>
    <t>SANVED CONSTRUCTIONS</t>
  </si>
  <si>
    <t>PRANAYA CONSTRUCTIONS</t>
  </si>
  <si>
    <t>RISHIKESH CONSTRUCTIONS</t>
  </si>
  <si>
    <t>CITY CONSTRUCTIONS - VALPOI</t>
  </si>
  <si>
    <t>M30IMGDG078</t>
  </si>
  <si>
    <t>ASPEN VENTURES</t>
  </si>
  <si>
    <t>MVR</t>
  </si>
  <si>
    <t>RAVEL INFRA</t>
  </si>
  <si>
    <t>HINDUSTHAN CONSTRUCTIONS</t>
  </si>
  <si>
    <t>ELECON ENERGY</t>
  </si>
  <si>
    <t>ACRON DEVELOPERS</t>
  </si>
  <si>
    <t>M30IMGDG079</t>
  </si>
  <si>
    <t>B&amp;F REALTY</t>
  </si>
  <si>
    <t>M35 PT</t>
  </si>
  <si>
    <t>M35IMGDG080</t>
  </si>
  <si>
    <t>DUKES VILLA - SOMANI</t>
  </si>
  <si>
    <t>M40</t>
  </si>
  <si>
    <t>M40IMGDG075</t>
  </si>
  <si>
    <t>M20IMGDG031</t>
  </si>
  <si>
    <t>ESVILLA ESTATES</t>
  </si>
  <si>
    <t>GOWDA CREATIONS</t>
  </si>
  <si>
    <t>M25IMGDG081</t>
  </si>
  <si>
    <t>M30IMGDG041</t>
  </si>
  <si>
    <t>M30IMGDG047</t>
  </si>
  <si>
    <t>SOMANI - DUKE'S VILLA</t>
  </si>
  <si>
    <t>KAMAL &amp; ASSOCIATES PRIVATE LIMITED</t>
  </si>
  <si>
    <t>M25IMGDG082</t>
  </si>
  <si>
    <t>MEGAWIDE INFRASTRUCTURES - CELEBI</t>
  </si>
  <si>
    <t>EXCEL PREACST SOLUTIONS</t>
  </si>
  <si>
    <t>DP CONSTRUCTIONS</t>
  </si>
  <si>
    <t>MUKESH BANSAL</t>
  </si>
  <si>
    <t xml:space="preserve">Optimized Cement </t>
  </si>
  <si>
    <t>Optimized GGBS</t>
  </si>
  <si>
    <t>Optimized PPC</t>
  </si>
  <si>
    <t>Optimized ICRETE</t>
  </si>
  <si>
    <t>Optimized 10mm</t>
  </si>
  <si>
    <t>Optimized 20mm</t>
  </si>
  <si>
    <t>Optimized CRF 1</t>
  </si>
  <si>
    <t>Optimized R sand</t>
  </si>
  <si>
    <t>Optimized Mid PC Infra Plus 367</t>
  </si>
  <si>
    <t>Optimized HPC (PC350)</t>
  </si>
  <si>
    <t>Optimized MID PC 
CAC H3</t>
  </si>
  <si>
    <t>Optimized Fibre</t>
  </si>
  <si>
    <t>Optimized water</t>
  </si>
  <si>
    <t xml:space="preserve">Customer Cement </t>
  </si>
  <si>
    <t xml:space="preserve">Cement by Customer </t>
  </si>
  <si>
    <t>Customer GGBS</t>
  </si>
  <si>
    <t>Customer ICRETE</t>
  </si>
  <si>
    <t>Customer 10mm</t>
  </si>
  <si>
    <t>Customer 20mm</t>
  </si>
  <si>
    <t>Customer CRF 1</t>
  </si>
  <si>
    <t>Customer R Sand</t>
  </si>
  <si>
    <t>Customer Mid PC</t>
  </si>
  <si>
    <t>Customer HiPC</t>
  </si>
  <si>
    <t>Customer Infra Plus  367</t>
  </si>
  <si>
    <t>Customer WPC</t>
  </si>
  <si>
    <t>Total RM Cost as per customer mix</t>
  </si>
  <si>
    <t>Customer RM cost (per cum)</t>
  </si>
  <si>
    <t>Customer Water</t>
  </si>
  <si>
    <t>Total savings for Qty</t>
  </si>
  <si>
    <t>Concrete GRADE</t>
  </si>
  <si>
    <t>Customer Mix RM Cost</t>
  </si>
  <si>
    <t>Customer Mix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</si>
</sst>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[$-409]d\-mmm\-yy;@"/>
    <numFmt numFmtId="167" formatCode="_ * #,##0_ ;_ * \-#,##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rgb="FF000000"/>
      <name val="Times New Roman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charset val="134"/>
    </font>
    <font>
      <sz val="14"/>
      <color theme="1"/>
      <name val="Times New Roman"/>
      <family val="1"/>
    </font>
    <font>
      <sz val="11"/>
      <color rgb="FF000000"/>
      <name val="Times New Roman"/>
      <charset val="134"/>
    </font>
    <font>
      <sz val="11"/>
      <color theme="1"/>
      <name val="Times New Roman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rgb="FF000000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5B3D7"/>
        <bgColor rgb="FF95B3D7"/>
      </patternFill>
    </fill>
    <fill>
      <patternFill patternType="solid">
        <fgColor rgb="FFB2A1C7"/>
        <bgColor rgb="FFB2A1C7"/>
      </patternFill>
    </fill>
    <fill>
      <patternFill patternType="solid">
        <fgColor theme="5" tint="0.79995117038483843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92D050"/>
      </patternFill>
    </fill>
    <fill>
      <patternFill patternType="solid">
        <fgColor theme="9" tint="0.79995117038483843"/>
        <bgColor rgb="FF92D050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8EA9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5" borderId="2" xfId="0" applyNumberFormat="1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1" fontId="3" fillId="7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4" fillId="8" borderId="2" xfId="0" applyNumberFormat="1" applyFont="1" applyFill="1" applyBorder="1" applyAlignment="1">
      <alignment vertical="center" wrapText="1"/>
    </xf>
    <xf numFmtId="2" fontId="3" fillId="9" borderId="2" xfId="0" applyNumberFormat="1" applyFont="1" applyFill="1" applyBorder="1" applyAlignment="1">
      <alignment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2" fontId="4" fillId="10" borderId="3" xfId="0" applyNumberFormat="1" applyFont="1" applyFill="1" applyBorder="1" applyAlignment="1">
      <alignment vertical="center" wrapText="1"/>
    </xf>
    <xf numFmtId="2" fontId="4" fillId="11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5" fillId="12" borderId="4" xfId="0" applyNumberFormat="1" applyFont="1" applyFill="1" applyBorder="1" applyAlignment="1">
      <alignment vertical="center" wrapText="1"/>
    </xf>
    <xf numFmtId="2" fontId="6" fillId="13" borderId="2" xfId="0" applyNumberFormat="1" applyFont="1" applyFill="1" applyBorder="1" applyAlignment="1">
      <alignment vertical="center" wrapText="1"/>
    </xf>
    <xf numFmtId="2" fontId="6" fillId="13" borderId="2" xfId="0" applyNumberFormat="1" applyFont="1" applyFill="1" applyBorder="1" applyAlignment="1">
      <alignment vertical="center"/>
    </xf>
    <xf numFmtId="2" fontId="2" fillId="14" borderId="5" xfId="0" applyNumberFormat="1" applyFont="1" applyFill="1" applyBorder="1" applyAlignment="1">
      <alignment vertical="center"/>
    </xf>
    <xf numFmtId="2" fontId="2" fillId="14" borderId="6" xfId="0" applyNumberFormat="1" applyFont="1" applyFill="1" applyBorder="1" applyAlignment="1">
      <alignment vertical="center"/>
    </xf>
    <xf numFmtId="2" fontId="2" fillId="14" borderId="7" xfId="0" applyNumberFormat="1" applyFont="1" applyFill="1" applyBorder="1" applyAlignment="1">
      <alignment vertical="center"/>
    </xf>
    <xf numFmtId="165" fontId="7" fillId="15" borderId="8" xfId="0" applyNumberFormat="1" applyFont="1" applyFill="1" applyBorder="1" applyAlignment="1">
      <alignment horizontal="center" vertical="center" wrapText="1"/>
    </xf>
    <xf numFmtId="165" fontId="7" fillId="15" borderId="6" xfId="0" applyNumberFormat="1" applyFont="1" applyFill="1" applyBorder="1" applyAlignment="1">
      <alignment horizontal="center" vertical="center" wrapText="1"/>
    </xf>
    <xf numFmtId="165" fontId="7" fillId="15" borderId="6" xfId="0" applyNumberFormat="1" applyFont="1" applyFill="1" applyBorder="1" applyAlignment="1">
      <alignment horizontal="center" vertical="center"/>
    </xf>
    <xf numFmtId="165" fontId="8" fillId="15" borderId="8" xfId="0" applyNumberFormat="1" applyFont="1" applyFill="1" applyBorder="1" applyAlignment="1">
      <alignment horizontal="center" vertical="center" wrapText="1"/>
    </xf>
    <xf numFmtId="165" fontId="8" fillId="15" borderId="6" xfId="0" applyNumberFormat="1" applyFont="1" applyFill="1" applyBorder="1" applyAlignment="1">
      <alignment horizontal="center" vertical="center"/>
    </xf>
    <xf numFmtId="165" fontId="8" fillId="15" borderId="9" xfId="0" applyNumberFormat="1" applyFont="1" applyFill="1" applyBorder="1" applyAlignment="1">
      <alignment horizontal="center" vertical="center"/>
    </xf>
    <xf numFmtId="2" fontId="4" fillId="10" borderId="10" xfId="0" applyNumberFormat="1" applyFont="1" applyFill="1" applyBorder="1" applyAlignment="1">
      <alignment vertical="center" wrapText="1"/>
    </xf>
    <xf numFmtId="2" fontId="4" fillId="11" borderId="11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2" fontId="5" fillId="12" borderId="11" xfId="0" applyNumberFormat="1" applyFont="1" applyFill="1" applyBorder="1" applyAlignment="1">
      <alignment vertical="center" wrapText="1"/>
    </xf>
    <xf numFmtId="2" fontId="6" fillId="13" borderId="11" xfId="0" applyNumberFormat="1" applyFont="1" applyFill="1" applyBorder="1" applyAlignment="1">
      <alignment vertical="center" wrapText="1"/>
    </xf>
    <xf numFmtId="2" fontId="6" fillId="13" borderId="11" xfId="0" applyNumberFormat="1" applyFont="1" applyFill="1" applyBorder="1" applyAlignment="1">
      <alignment vertical="center"/>
    </xf>
    <xf numFmtId="166" fontId="9" fillId="0" borderId="13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2" fontId="11" fillId="0" borderId="15" xfId="0" applyNumberFormat="1" applyFont="1" applyBorder="1" applyAlignment="1">
      <alignment horizontal="center" vertical="center"/>
    </xf>
    <xf numFmtId="0" fontId="12" fillId="17" borderId="14" xfId="0" applyFont="1" applyFill="1" applyBorder="1" applyAlignment="1">
      <alignment horizontal="center"/>
    </xf>
    <xf numFmtId="2" fontId="4" fillId="0" borderId="12" xfId="0" applyNumberFormat="1" applyFont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167" fontId="1" fillId="18" borderId="14" xfId="1" applyNumberFormat="1" applyFont="1" applyFill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10" fillId="19" borderId="16" xfId="0" applyFont="1" applyFill="1" applyBorder="1" applyAlignment="1">
      <alignment horizontal="center"/>
    </xf>
    <xf numFmtId="1" fontId="13" fillId="0" borderId="14" xfId="0" applyNumberFormat="1" applyFont="1" applyBorder="1" applyAlignment="1">
      <alignment horizontal="center" vertical="center"/>
    </xf>
    <xf numFmtId="0" fontId="10" fillId="19" borderId="17" xfId="0" applyFont="1" applyFill="1" applyBorder="1" applyAlignment="1">
      <alignment horizontal="center"/>
    </xf>
    <xf numFmtId="1" fontId="11" fillId="0" borderId="14" xfId="0" applyNumberFormat="1" applyFont="1" applyBorder="1" applyAlignment="1">
      <alignment horizontal="center" vertical="center"/>
    </xf>
    <xf numFmtId="0" fontId="10" fillId="19" borderId="17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7" fontId="0" fillId="0" borderId="14" xfId="1" applyNumberFormat="1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2" fontId="11" fillId="20" borderId="12" xfId="0" applyNumberFormat="1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1" fontId="15" fillId="0" borderId="12" xfId="0" applyNumberFormat="1" applyFont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vertical="center"/>
    </xf>
    <xf numFmtId="1" fontId="11" fillId="0" borderId="12" xfId="0" applyNumberFormat="1" applyFont="1" applyBorder="1" applyAlignment="1">
      <alignment vertical="center"/>
    </xf>
    <xf numFmtId="167" fontId="0" fillId="18" borderId="14" xfId="1" applyNumberFormat="1" applyFont="1" applyFill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10" fontId="17" fillId="0" borderId="12" xfId="0" applyNumberFormat="1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0" fillId="0" borderId="14" xfId="1" applyNumberFormat="1" applyFont="1" applyBorder="1" applyAlignment="1">
      <alignment horizontal="center" vertical="center"/>
    </xf>
    <xf numFmtId="2" fontId="17" fillId="0" borderId="13" xfId="0" applyNumberFormat="1" applyFont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5" fontId="7" fillId="15" borderId="7" xfId="0" applyNumberFormat="1" applyFont="1" applyFill="1" applyBorder="1" applyAlignment="1">
      <alignment horizontal="center" vertical="center"/>
    </xf>
    <xf numFmtId="2" fontId="4" fillId="8" borderId="17" xfId="0" applyNumberFormat="1" applyFont="1" applyFill="1" applyBorder="1" applyAlignment="1">
      <alignment vertical="center" wrapText="1"/>
    </xf>
    <xf numFmtId="2" fontId="3" fillId="9" borderId="17" xfId="0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2"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0F41-D712-4C31-8926-885B2F67BA54}">
  <dimension ref="A1:BJ260"/>
  <sheetViews>
    <sheetView tabSelected="1" workbookViewId="0">
      <selection activeCell="N12" sqref="N12"/>
    </sheetView>
  </sheetViews>
  <sheetFormatPr defaultRowHeight="15"/>
  <cols>
    <col min="1" max="1" width="11" style="80" bestFit="1" customWidth="1"/>
    <col min="2" max="2" width="44.7109375" style="80" bestFit="1" customWidth="1"/>
    <col min="3" max="3" width="10.5703125" style="80" bestFit="1" customWidth="1"/>
    <col min="4" max="4" width="11.5703125" style="80" bestFit="1" customWidth="1"/>
    <col min="5" max="5" width="9.140625" style="86"/>
    <col min="6" max="6" width="15.42578125" style="86" bestFit="1" customWidth="1"/>
    <col min="7" max="7" width="15.5703125" style="80" bestFit="1" customWidth="1"/>
    <col min="8" max="8" width="10.85546875" style="80" bestFit="1" customWidth="1"/>
    <col min="9" max="10" width="14.28515625" style="80" bestFit="1" customWidth="1"/>
    <col min="11" max="12" width="12.85546875" style="80" bestFit="1" customWidth="1"/>
    <col min="13" max="13" width="19.7109375" style="80" bestFit="1" customWidth="1"/>
    <col min="14" max="14" width="19.42578125" style="80" bestFit="1" customWidth="1"/>
    <col min="15" max="15" width="14" style="80" bestFit="1" customWidth="1"/>
    <col min="16" max="16" width="13" style="80" bestFit="1" customWidth="1"/>
    <col min="17" max="17" width="11.85546875" style="80" bestFit="1" customWidth="1"/>
    <col min="18" max="18" width="9.7109375" style="80" bestFit="1" customWidth="1"/>
    <col min="19" max="19" width="14" style="80" bestFit="1" customWidth="1"/>
    <col min="20" max="21" width="11.28515625" style="80" bestFit="1" customWidth="1"/>
    <col min="22" max="22" width="11.85546875" style="80" bestFit="1" customWidth="1"/>
    <col min="23" max="23" width="12.28515625" style="80" bestFit="1" customWidth="1"/>
    <col min="24" max="24" width="13.5703125" style="80" bestFit="1" customWidth="1"/>
    <col min="25" max="25" width="13.28515625" style="80" bestFit="1" customWidth="1"/>
    <col min="26" max="26" width="13.85546875" style="80" bestFit="1" customWidth="1"/>
    <col min="27" max="27" width="10.5703125" style="80" bestFit="1" customWidth="1"/>
    <col min="28" max="28" width="10.85546875" style="80" bestFit="1" customWidth="1"/>
    <col min="29" max="29" width="24.85546875" style="80" customWidth="1"/>
    <col min="30" max="30" width="20.140625" style="80" customWidth="1"/>
    <col min="31" max="31" width="13" style="80" bestFit="1" customWidth="1"/>
    <col min="32" max="32" width="12.85546875" style="87" bestFit="1" customWidth="1"/>
    <col min="33" max="33" width="11.85546875" style="87" bestFit="1" customWidth="1"/>
    <col min="34" max="34" width="12.5703125" style="87" bestFit="1" customWidth="1"/>
    <col min="35" max="36" width="11.28515625" style="80" bestFit="1" customWidth="1"/>
    <col min="37" max="37" width="11.85546875" style="80" bestFit="1" customWidth="1"/>
    <col min="38" max="38" width="12.5703125" style="80" bestFit="1" customWidth="1"/>
    <col min="39" max="39" width="13" style="80" bestFit="1" customWidth="1"/>
    <col min="40" max="40" width="10.7109375" style="80" bestFit="1" customWidth="1"/>
    <col min="41" max="41" width="10.28515625" style="80" bestFit="1" customWidth="1"/>
    <col min="42" max="42" width="10.5703125" style="80" bestFit="1" customWidth="1"/>
    <col min="43" max="43" width="10.85546875" style="80" bestFit="1" customWidth="1"/>
    <col min="44" max="44" width="15.7109375" style="80" bestFit="1" customWidth="1"/>
    <col min="45" max="45" width="13.5703125" style="80" bestFit="1" customWidth="1"/>
    <col min="46" max="46" width="13.7109375" style="80" bestFit="1" customWidth="1"/>
    <col min="47" max="47" width="8.5703125" style="80" bestFit="1" customWidth="1"/>
    <col min="48" max="48" width="12.42578125" style="80" bestFit="1" customWidth="1"/>
    <col min="49" max="49" width="18.85546875" style="80" bestFit="1" customWidth="1"/>
    <col min="50" max="50" width="14.28515625" style="80" bestFit="1" customWidth="1"/>
    <col min="51" max="51" width="12.42578125" style="80" bestFit="1" customWidth="1"/>
    <col min="52" max="52" width="13.140625" style="80" bestFit="1" customWidth="1"/>
    <col min="53" max="53" width="10.7109375" style="80" bestFit="1" customWidth="1"/>
    <col min="54" max="54" width="14.5703125" style="80" bestFit="1" customWidth="1"/>
    <col min="55" max="55" width="17.7109375" style="80" bestFit="1" customWidth="1"/>
    <col min="56" max="56" width="14.5703125" style="80" bestFit="1" customWidth="1"/>
    <col min="57" max="57" width="12.7109375" style="80" bestFit="1" customWidth="1"/>
    <col min="58" max="58" width="12.28515625" style="80" bestFit="1" customWidth="1"/>
    <col min="59" max="59" width="13.85546875" style="80" bestFit="1" customWidth="1"/>
    <col min="60" max="60" width="18.7109375" style="80" bestFit="1" customWidth="1"/>
    <col min="61" max="61" width="14.42578125" style="80" bestFit="1" customWidth="1"/>
    <col min="62" max="62" width="12.5703125" style="80" bestFit="1" customWidth="1"/>
  </cols>
  <sheetData>
    <row r="1" spans="1:62" ht="75.7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154</v>
      </c>
      <c r="J1" s="4" t="s">
        <v>8</v>
      </c>
      <c r="K1" s="4" t="s">
        <v>155</v>
      </c>
      <c r="L1" s="4" t="s">
        <v>9</v>
      </c>
      <c r="M1" s="4" t="s">
        <v>10</v>
      </c>
      <c r="N1" s="4" t="s">
        <v>11</v>
      </c>
      <c r="O1" s="5" t="s">
        <v>12</v>
      </c>
      <c r="P1" s="6" t="s">
        <v>124</v>
      </c>
      <c r="Q1" s="6" t="s">
        <v>125</v>
      </c>
      <c r="R1" s="6" t="s">
        <v>126</v>
      </c>
      <c r="S1" s="6" t="s">
        <v>127</v>
      </c>
      <c r="T1" s="6" t="s">
        <v>128</v>
      </c>
      <c r="U1" s="6" t="s">
        <v>129</v>
      </c>
      <c r="V1" s="6" t="s">
        <v>130</v>
      </c>
      <c r="W1" s="6" t="s">
        <v>131</v>
      </c>
      <c r="X1" s="7" t="s">
        <v>132</v>
      </c>
      <c r="Y1" s="8" t="s">
        <v>133</v>
      </c>
      <c r="Z1" s="9" t="s">
        <v>134</v>
      </c>
      <c r="AA1" s="10" t="s">
        <v>135</v>
      </c>
      <c r="AB1" s="6" t="s">
        <v>136</v>
      </c>
      <c r="AC1" s="11" t="s">
        <v>150</v>
      </c>
      <c r="AD1" s="12" t="s">
        <v>149</v>
      </c>
      <c r="AE1" s="10" t="s">
        <v>137</v>
      </c>
      <c r="AF1" s="6" t="s">
        <v>138</v>
      </c>
      <c r="AG1" s="6" t="s">
        <v>139</v>
      </c>
      <c r="AH1" s="6" t="s">
        <v>140</v>
      </c>
      <c r="AI1" s="10" t="s">
        <v>141</v>
      </c>
      <c r="AJ1" s="10" t="s">
        <v>142</v>
      </c>
      <c r="AK1" s="10" t="s">
        <v>143</v>
      </c>
      <c r="AL1" s="10" t="s">
        <v>144</v>
      </c>
      <c r="AM1" s="13" t="s">
        <v>145</v>
      </c>
      <c r="AN1" s="8" t="s">
        <v>146</v>
      </c>
      <c r="AO1" s="14" t="s">
        <v>147</v>
      </c>
      <c r="AP1" s="10" t="s">
        <v>148</v>
      </c>
      <c r="AQ1" s="10" t="s">
        <v>151</v>
      </c>
      <c r="AR1" s="15" t="s">
        <v>16</v>
      </c>
      <c r="AS1" s="16" t="s">
        <v>17</v>
      </c>
      <c r="AT1" s="17" t="s">
        <v>13</v>
      </c>
      <c r="AU1" s="18" t="s">
        <v>152</v>
      </c>
      <c r="AV1" s="19" t="s">
        <v>153</v>
      </c>
      <c r="AW1" s="19" t="s">
        <v>18</v>
      </c>
      <c r="AX1" s="19" t="s">
        <v>19</v>
      </c>
      <c r="AY1" s="19" t="s">
        <v>20</v>
      </c>
      <c r="AZ1" s="19" t="s">
        <v>14</v>
      </c>
      <c r="BA1" s="19" t="s">
        <v>21</v>
      </c>
      <c r="BB1" s="20" t="s">
        <v>22</v>
      </c>
      <c r="BC1" s="20" t="s">
        <v>23</v>
      </c>
      <c r="BD1" s="20" t="s">
        <v>15</v>
      </c>
      <c r="BE1" s="20" t="s">
        <v>24</v>
      </c>
      <c r="BF1" s="20" t="s">
        <v>25</v>
      </c>
      <c r="BG1" s="20" t="s">
        <v>26</v>
      </c>
      <c r="BH1" s="19" t="s">
        <v>27</v>
      </c>
      <c r="BI1" s="20" t="s">
        <v>28</v>
      </c>
      <c r="BJ1" s="19" t="s">
        <v>29</v>
      </c>
    </row>
    <row r="2" spans="1:62" ht="21" thickBot="1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  <c r="P2" s="24">
        <v>5.25</v>
      </c>
      <c r="Q2" s="25">
        <v>3.0630000000000002</v>
      </c>
      <c r="R2" s="25">
        <v>4.6050000000000004</v>
      </c>
      <c r="S2" s="26">
        <v>0</v>
      </c>
      <c r="T2" s="26">
        <v>0.91400000000000003</v>
      </c>
      <c r="U2" s="26">
        <v>0.91900000000000004</v>
      </c>
      <c r="V2" s="26">
        <v>0.92</v>
      </c>
      <c r="W2" s="26">
        <v>0</v>
      </c>
      <c r="X2" s="26">
        <v>43.77</v>
      </c>
      <c r="Y2" s="26">
        <v>72</v>
      </c>
      <c r="Z2" s="26">
        <v>47.5</v>
      </c>
      <c r="AA2" s="26">
        <v>165</v>
      </c>
      <c r="AB2" s="88">
        <v>0.1</v>
      </c>
      <c r="AC2" s="89"/>
      <c r="AD2" s="90"/>
      <c r="AE2" s="27">
        <f>P2</f>
        <v>5.25</v>
      </c>
      <c r="AF2" s="25">
        <v>3.077</v>
      </c>
      <c r="AG2" s="25">
        <f>Q2</f>
        <v>3.0630000000000002</v>
      </c>
      <c r="AH2" s="26">
        <v>0</v>
      </c>
      <c r="AI2" s="26">
        <f>T2</f>
        <v>0.91400000000000003</v>
      </c>
      <c r="AJ2" s="26">
        <f>U2</f>
        <v>0.91900000000000004</v>
      </c>
      <c r="AK2" s="26">
        <f>V2</f>
        <v>0.92</v>
      </c>
      <c r="AL2" s="28">
        <v>0</v>
      </c>
      <c r="AM2" s="28">
        <v>43.4</v>
      </c>
      <c r="AN2" s="28">
        <v>76</v>
      </c>
      <c r="AO2" s="28">
        <v>43.77</v>
      </c>
      <c r="AP2" s="28">
        <v>165</v>
      </c>
      <c r="AQ2" s="29">
        <v>0.1</v>
      </c>
      <c r="AR2" s="30"/>
      <c r="AS2" s="31"/>
      <c r="AT2" s="32"/>
      <c r="AU2" s="33"/>
      <c r="AV2" s="34"/>
      <c r="AW2" s="34"/>
      <c r="AX2" s="34"/>
      <c r="AY2" s="34"/>
      <c r="AZ2" s="34"/>
      <c r="BA2" s="34"/>
      <c r="BB2" s="35"/>
      <c r="BC2" s="35"/>
      <c r="BD2" s="35"/>
      <c r="BE2" s="35"/>
      <c r="BF2" s="35"/>
      <c r="BG2" s="35"/>
      <c r="BH2" s="34"/>
      <c r="BI2" s="35"/>
      <c r="BJ2" s="34"/>
    </row>
    <row r="3" spans="1:62" ht="18.75">
      <c r="A3" s="36">
        <v>45717</v>
      </c>
      <c r="B3" s="37" t="s">
        <v>30</v>
      </c>
      <c r="C3" s="38"/>
      <c r="D3" s="39" t="s">
        <v>31</v>
      </c>
      <c r="E3" s="40">
        <v>4</v>
      </c>
      <c r="F3" s="41"/>
      <c r="G3" s="37" t="s">
        <v>32</v>
      </c>
      <c r="H3" s="42">
        <v>5400</v>
      </c>
      <c r="I3" s="43">
        <f t="shared" ref="I3:I66" si="0">AR3</f>
        <v>3003.4838000000004</v>
      </c>
      <c r="J3" s="43">
        <f>AC3</f>
        <v>2652.4196500000003</v>
      </c>
      <c r="K3" s="43">
        <f>H3-I3</f>
        <v>2396.5161999999996</v>
      </c>
      <c r="L3" s="43">
        <f>H3-J3</f>
        <v>2747.5803499999997</v>
      </c>
      <c r="M3" s="43">
        <f t="shared" ref="M3:M66" si="1">($J3)/($H3)</f>
        <v>0.4911888240740741</v>
      </c>
      <c r="N3" s="43">
        <f>I3/H3</f>
        <v>0.55620070370370378</v>
      </c>
      <c r="O3" s="44">
        <f t="shared" ref="O3:O66" si="2">IFERROR((N3-M3)/M3,0)</f>
        <v>0.13235618654838432</v>
      </c>
      <c r="P3" s="45">
        <v>246</v>
      </c>
      <c r="Q3" s="45">
        <v>405</v>
      </c>
      <c r="R3" s="45"/>
      <c r="S3" s="46"/>
      <c r="T3" s="45">
        <v>1771</v>
      </c>
      <c r="U3" s="45">
        <v>2756</v>
      </c>
      <c r="V3" s="45">
        <f>2028+2014</f>
        <v>4042</v>
      </c>
      <c r="W3" s="45"/>
      <c r="X3" s="45">
        <v>3.28</v>
      </c>
      <c r="Y3" s="45"/>
      <c r="Z3" s="45"/>
      <c r="AA3" s="45"/>
      <c r="AB3" s="45">
        <v>640</v>
      </c>
      <c r="AC3" s="46">
        <f>IFERROR(AD3/E3,0)</f>
        <v>2652.4196500000003</v>
      </c>
      <c r="AD3" s="47">
        <f t="shared" ref="AD3:AD66" si="3">IFERROR(($P$2*P3)+($Q$2*Q3)+($R$2*R3)+($S$2*S3)+($T$2*T3)+($U$2*U3)+($V$2*V3)+($W$2*W3)+($X$2*X3)+($Y$2*Y3)+($Z$2*Z3)+($AA$2*AA3)+(AB3*AB$2),0)</f>
        <v>10609.678600000001</v>
      </c>
      <c r="AE3" s="48">
        <v>154</v>
      </c>
      <c r="AF3" s="49"/>
      <c r="AG3" s="50">
        <v>66</v>
      </c>
      <c r="AH3" s="51"/>
      <c r="AI3" s="50">
        <v>480</v>
      </c>
      <c r="AJ3" s="50">
        <v>700</v>
      </c>
      <c r="AK3" s="50">
        <f>450+450</f>
        <v>900</v>
      </c>
      <c r="AL3" s="46"/>
      <c r="AM3" s="38"/>
      <c r="AN3" s="52"/>
      <c r="AO3" s="50">
        <v>1.54</v>
      </c>
      <c r="AP3" s="46"/>
      <c r="AQ3" s="52">
        <v>154</v>
      </c>
      <c r="AR3" s="53">
        <f t="shared" ref="AR3:AR66" si="4">+($AE$2*AE3)+($AF$2*AF3)+($AG$2*AG3)+($AH$2*AH3)+($AI$2*AI3)+($AJ$2*AJ3)+($AK$2*AK3)+($AL$2*AL3)+($AM$2*AM3)+($AN$2*AN3)+($AO$2*AO3)+($AP$2*AP3)+($AQ$2*AQ3)</f>
        <v>3003.4838000000004</v>
      </c>
      <c r="AS3" s="54">
        <f>AR3*E3</f>
        <v>12013.935200000002</v>
      </c>
      <c r="AT3" s="43">
        <f t="shared" ref="AT3:AT66" si="5">IFERROR(AR3-AC3,0)</f>
        <v>351.06415000000015</v>
      </c>
      <c r="AU3" s="41">
        <f>IFERROR(AT3*E3,0)</f>
        <v>1404.2566000000006</v>
      </c>
      <c r="AV3" s="38" t="str">
        <f>D3</f>
        <v>M10</v>
      </c>
      <c r="AW3" s="38">
        <f>P3/E3</f>
        <v>61.5</v>
      </c>
      <c r="AX3" s="38">
        <f>Q3/E3</f>
        <v>101.25</v>
      </c>
      <c r="AY3" s="38">
        <f>R3/E3</f>
        <v>0</v>
      </c>
      <c r="AZ3" s="38">
        <f>S3/E3</f>
        <v>0</v>
      </c>
      <c r="BA3" s="38">
        <f>T3/E3</f>
        <v>442.75</v>
      </c>
      <c r="BB3" s="38">
        <f>U3/E3</f>
        <v>689</v>
      </c>
      <c r="BC3" s="38">
        <f>V3/E3</f>
        <v>1010.5</v>
      </c>
      <c r="BD3" s="38">
        <f>W3/E3</f>
        <v>0</v>
      </c>
      <c r="BE3" s="38">
        <f>X3/E3</f>
        <v>0.82</v>
      </c>
      <c r="BF3" s="38">
        <f>Y3/E3</f>
        <v>0</v>
      </c>
      <c r="BG3" s="38">
        <f>AB3/E3</f>
        <v>160</v>
      </c>
      <c r="BH3" s="55">
        <f>Z3/E3</f>
        <v>0</v>
      </c>
      <c r="BI3" s="38"/>
      <c r="BJ3" s="41">
        <f t="shared" ref="BJ3:BJ39" si="6">SUM(AW3:BI3)</f>
        <v>2465.8200000000002</v>
      </c>
    </row>
    <row r="4" spans="1:62" ht="18.75">
      <c r="A4" s="36">
        <v>45717</v>
      </c>
      <c r="B4" s="37" t="s">
        <v>33</v>
      </c>
      <c r="C4" s="38"/>
      <c r="D4" s="39" t="s">
        <v>34</v>
      </c>
      <c r="E4" s="40">
        <v>7</v>
      </c>
      <c r="F4" s="56"/>
      <c r="G4" s="37" t="s">
        <v>35</v>
      </c>
      <c r="H4" s="42">
        <v>5800</v>
      </c>
      <c r="I4" s="38">
        <f t="shared" si="0"/>
        <v>3738.4399999999996</v>
      </c>
      <c r="J4" s="43">
        <f t="shared" ref="J4:J67" si="7">AC4</f>
        <v>3060.8756000000003</v>
      </c>
      <c r="K4" s="43">
        <f t="shared" ref="K4:K67" si="8">H4-I4</f>
        <v>2061.5600000000004</v>
      </c>
      <c r="L4" s="43">
        <f t="shared" ref="L4:L59" si="9">H4-J4</f>
        <v>2739.1243999999997</v>
      </c>
      <c r="M4" s="43">
        <f t="shared" si="1"/>
        <v>0.52773717241379314</v>
      </c>
      <c r="N4" s="43">
        <f t="shared" ref="N4:N67" si="10">I4/H4</f>
        <v>0.64455862068965508</v>
      </c>
      <c r="O4" s="44">
        <f t="shared" si="2"/>
        <v>0.22136293288103548</v>
      </c>
      <c r="P4" s="45">
        <v>976</v>
      </c>
      <c r="Q4" s="45">
        <v>982</v>
      </c>
      <c r="R4" s="51"/>
      <c r="S4" s="51"/>
      <c r="T4" s="45">
        <v>3407</v>
      </c>
      <c r="U4" s="45">
        <v>4734</v>
      </c>
      <c r="V4" s="45">
        <f>2867+2992</f>
        <v>5859</v>
      </c>
      <c r="W4" s="45"/>
      <c r="X4" s="45">
        <v>6.96</v>
      </c>
      <c r="Y4" s="45"/>
      <c r="Z4" s="45"/>
      <c r="AA4" s="45"/>
      <c r="AB4" s="45">
        <v>1348</v>
      </c>
      <c r="AC4" s="46">
        <f>IFERROR(AD4/E4,0)</f>
        <v>3060.8756000000003</v>
      </c>
      <c r="AD4" s="47">
        <f t="shared" si="3"/>
        <v>21426.129200000003</v>
      </c>
      <c r="AE4" s="50">
        <v>325</v>
      </c>
      <c r="AF4" s="46"/>
      <c r="AG4" s="50">
        <v>0</v>
      </c>
      <c r="AH4" s="46"/>
      <c r="AI4" s="50">
        <v>495</v>
      </c>
      <c r="AJ4" s="50">
        <v>740</v>
      </c>
      <c r="AK4" s="50">
        <v>800</v>
      </c>
      <c r="AL4" s="38"/>
      <c r="AM4" s="57"/>
      <c r="AN4" s="52">
        <v>1.95</v>
      </c>
      <c r="AO4" s="50"/>
      <c r="AP4" s="38"/>
      <c r="AQ4" s="52">
        <v>155</v>
      </c>
      <c r="AR4" s="53">
        <f t="shared" si="4"/>
        <v>3738.4399999999996</v>
      </c>
      <c r="AS4" s="54">
        <f>AR4*E4</f>
        <v>26169.079999999998</v>
      </c>
      <c r="AT4" s="43">
        <f t="shared" si="5"/>
        <v>677.5643999999993</v>
      </c>
      <c r="AU4" s="41">
        <f>IFERROR(AT4*E4,0)</f>
        <v>4742.9507999999951</v>
      </c>
      <c r="AV4" s="38" t="str">
        <f>D4</f>
        <v>M15</v>
      </c>
      <c r="AW4" s="38">
        <f>P4/E4</f>
        <v>139.42857142857142</v>
      </c>
      <c r="AX4" s="38">
        <f>Q4/E4</f>
        <v>140.28571428571428</v>
      </c>
      <c r="AY4" s="38">
        <f>R4/E4</f>
        <v>0</v>
      </c>
      <c r="AZ4" s="38">
        <f>S4/E4</f>
        <v>0</v>
      </c>
      <c r="BA4" s="38">
        <f>T4/E4</f>
        <v>486.71428571428572</v>
      </c>
      <c r="BB4" s="38">
        <f>U4/E4</f>
        <v>676.28571428571433</v>
      </c>
      <c r="BC4" s="38">
        <f>V4/E4</f>
        <v>837</v>
      </c>
      <c r="BD4" s="38">
        <f>W4/E4</f>
        <v>0</v>
      </c>
      <c r="BE4" s="38">
        <f>X4/E4</f>
        <v>0.99428571428571433</v>
      </c>
      <c r="BF4" s="38">
        <f>Y4/E4</f>
        <v>0</v>
      </c>
      <c r="BG4" s="38">
        <f>AB4/E4</f>
        <v>192.57142857142858</v>
      </c>
      <c r="BH4" s="55">
        <f>Z4/E4</f>
        <v>0</v>
      </c>
      <c r="BI4" s="38"/>
      <c r="BJ4" s="38">
        <f t="shared" si="6"/>
        <v>2473.2799999999997</v>
      </c>
    </row>
    <row r="5" spans="1:62" ht="18.75">
      <c r="A5" s="36">
        <v>45717</v>
      </c>
      <c r="B5" s="37" t="s">
        <v>33</v>
      </c>
      <c r="C5" s="38"/>
      <c r="D5" s="39" t="s">
        <v>34</v>
      </c>
      <c r="E5" s="58">
        <v>14</v>
      </c>
      <c r="F5" s="41"/>
      <c r="G5" s="37" t="s">
        <v>35</v>
      </c>
      <c r="H5" s="42">
        <v>5800</v>
      </c>
      <c r="I5" s="38">
        <f t="shared" si="0"/>
        <v>3738.4399999999996</v>
      </c>
      <c r="J5" s="43">
        <f t="shared" si="7"/>
        <v>2858.8919714285717</v>
      </c>
      <c r="K5" s="43">
        <f t="shared" si="8"/>
        <v>2061.5600000000004</v>
      </c>
      <c r="L5" s="43">
        <f t="shared" si="9"/>
        <v>2941.1080285714283</v>
      </c>
      <c r="M5" s="43">
        <f t="shared" si="1"/>
        <v>0.49291240886699511</v>
      </c>
      <c r="N5" s="43">
        <f t="shared" si="10"/>
        <v>0.64455862068965508</v>
      </c>
      <c r="O5" s="44">
        <f t="shared" si="2"/>
        <v>0.3076534676236552</v>
      </c>
      <c r="P5" s="45">
        <v>1400</v>
      </c>
      <c r="Q5" s="45">
        <v>1691</v>
      </c>
      <c r="R5" s="51"/>
      <c r="S5" s="46"/>
      <c r="T5" s="45">
        <v>6654</v>
      </c>
      <c r="U5" s="45">
        <v>9732</v>
      </c>
      <c r="V5" s="45">
        <f>6426+6308</f>
        <v>12734</v>
      </c>
      <c r="W5" s="45"/>
      <c r="X5" s="45">
        <v>11.78</v>
      </c>
      <c r="Y5" s="45"/>
      <c r="Z5" s="45"/>
      <c r="AA5" s="45"/>
      <c r="AB5" s="45">
        <v>2386</v>
      </c>
      <c r="AC5" s="46">
        <f>IFERROR(AD5/E5,0)</f>
        <v>2858.8919714285717</v>
      </c>
      <c r="AD5" s="47">
        <f t="shared" si="3"/>
        <v>40024.4876</v>
      </c>
      <c r="AE5" s="50">
        <v>325</v>
      </c>
      <c r="AF5" s="49"/>
      <c r="AG5" s="50">
        <v>0</v>
      </c>
      <c r="AH5" s="51"/>
      <c r="AI5" s="50">
        <v>495</v>
      </c>
      <c r="AJ5" s="50">
        <v>740</v>
      </c>
      <c r="AK5" s="50">
        <v>800</v>
      </c>
      <c r="AL5" s="46"/>
      <c r="AM5" s="38"/>
      <c r="AN5" s="52">
        <v>1.95</v>
      </c>
      <c r="AO5" s="50"/>
      <c r="AP5" s="46"/>
      <c r="AQ5" s="52">
        <v>155</v>
      </c>
      <c r="AR5" s="53">
        <f t="shared" si="4"/>
        <v>3738.4399999999996</v>
      </c>
      <c r="AS5" s="54">
        <f>AR5*E5</f>
        <v>52338.159999999996</v>
      </c>
      <c r="AT5" s="43">
        <f t="shared" si="5"/>
        <v>879.54802857142795</v>
      </c>
      <c r="AU5" s="41">
        <f>IFERROR(AT5*E5,0)</f>
        <v>12313.672399999992</v>
      </c>
      <c r="AV5" s="38" t="str">
        <f>D5</f>
        <v>M15</v>
      </c>
      <c r="AW5" s="38">
        <f>P5/E5</f>
        <v>100</v>
      </c>
      <c r="AX5" s="38">
        <f>Q5/E5</f>
        <v>120.78571428571429</v>
      </c>
      <c r="AY5" s="38">
        <f>R5/E5</f>
        <v>0</v>
      </c>
      <c r="AZ5" s="38">
        <f>S5/E5</f>
        <v>0</v>
      </c>
      <c r="BA5" s="38">
        <f>T5/E5</f>
        <v>475.28571428571428</v>
      </c>
      <c r="BB5" s="38">
        <f>U5/E5</f>
        <v>695.14285714285711</v>
      </c>
      <c r="BC5" s="38">
        <f>V5/E5</f>
        <v>909.57142857142856</v>
      </c>
      <c r="BD5" s="38">
        <f>W5/E5</f>
        <v>0</v>
      </c>
      <c r="BE5" s="38">
        <f>X5/E5</f>
        <v>0.84142857142857141</v>
      </c>
      <c r="BF5" s="38">
        <f>Y5/E5</f>
        <v>0</v>
      </c>
      <c r="BG5" s="38">
        <f>AB5/E5</f>
        <v>170.42857142857142</v>
      </c>
      <c r="BH5" s="55">
        <f>Z5/E5</f>
        <v>0</v>
      </c>
      <c r="BI5" s="38"/>
      <c r="BJ5" s="38">
        <f t="shared" si="6"/>
        <v>2472.0557142857142</v>
      </c>
    </row>
    <row r="6" spans="1:62" ht="18.75">
      <c r="A6" s="36">
        <v>45717</v>
      </c>
      <c r="B6" s="37" t="s">
        <v>36</v>
      </c>
      <c r="C6" s="38"/>
      <c r="D6" s="59" t="s">
        <v>37</v>
      </c>
      <c r="E6" s="40">
        <v>7</v>
      </c>
      <c r="F6" s="56"/>
      <c r="G6" s="37" t="s">
        <v>38</v>
      </c>
      <c r="H6" s="42">
        <v>5450</v>
      </c>
      <c r="I6" s="38">
        <f t="shared" si="0"/>
        <v>3382.0320000000002</v>
      </c>
      <c r="J6" s="43">
        <f t="shared" si="7"/>
        <v>3045.9691571428571</v>
      </c>
      <c r="K6" s="43">
        <f t="shared" si="8"/>
        <v>2067.9679999999998</v>
      </c>
      <c r="L6" s="43">
        <f t="shared" si="9"/>
        <v>2404.0308428571429</v>
      </c>
      <c r="M6" s="43">
        <f t="shared" si="1"/>
        <v>0.55889342332896463</v>
      </c>
      <c r="N6" s="43">
        <f t="shared" si="10"/>
        <v>0.62055633027522938</v>
      </c>
      <c r="O6" s="44">
        <f t="shared" si="2"/>
        <v>0.11033034988849738</v>
      </c>
      <c r="P6" s="45">
        <v>915</v>
      </c>
      <c r="Q6" s="45">
        <v>912</v>
      </c>
      <c r="R6" s="51"/>
      <c r="S6" s="51"/>
      <c r="T6" s="45">
        <v>3347</v>
      </c>
      <c r="U6" s="45">
        <v>4734</v>
      </c>
      <c r="V6" s="45">
        <f>3193+3194</f>
        <v>6387</v>
      </c>
      <c r="W6" s="45"/>
      <c r="X6" s="45">
        <v>7.33</v>
      </c>
      <c r="Y6" s="45"/>
      <c r="Z6" s="45"/>
      <c r="AA6" s="45"/>
      <c r="AB6" s="45">
        <v>1180</v>
      </c>
      <c r="AC6" s="46">
        <f>IFERROR(AD6/E6,0)</f>
        <v>3045.9691571428571</v>
      </c>
      <c r="AD6" s="47">
        <f t="shared" si="3"/>
        <v>21321.784100000001</v>
      </c>
      <c r="AE6" s="48">
        <v>210</v>
      </c>
      <c r="AF6" s="46"/>
      <c r="AG6" s="50">
        <v>90</v>
      </c>
      <c r="AH6" s="46"/>
      <c r="AI6" s="50">
        <v>500</v>
      </c>
      <c r="AJ6" s="50">
        <v>755</v>
      </c>
      <c r="AK6" s="50">
        <v>810</v>
      </c>
      <c r="AL6" s="38"/>
      <c r="AM6" s="57"/>
      <c r="AN6" s="52"/>
      <c r="AO6" s="52">
        <v>2.1</v>
      </c>
      <c r="AP6" s="38"/>
      <c r="AQ6" s="52">
        <v>159</v>
      </c>
      <c r="AR6" s="53">
        <f t="shared" si="4"/>
        <v>3382.0320000000002</v>
      </c>
      <c r="AS6" s="54">
        <f>AR6*E6</f>
        <v>23674.224000000002</v>
      </c>
      <c r="AT6" s="43">
        <f t="shared" si="5"/>
        <v>336.0628428571431</v>
      </c>
      <c r="AU6" s="41">
        <f>IFERROR(AT6*E6,0)</f>
        <v>2352.4399000000017</v>
      </c>
      <c r="AV6" s="38" t="str">
        <f>D6</f>
        <v>M20</v>
      </c>
      <c r="AW6" s="38">
        <f>P6/E6</f>
        <v>130.71428571428572</v>
      </c>
      <c r="AX6" s="38">
        <f>Q6/E6</f>
        <v>130.28571428571428</v>
      </c>
      <c r="AY6" s="38">
        <f>R6/E6</f>
        <v>0</v>
      </c>
      <c r="AZ6" s="38">
        <f>S6/E6</f>
        <v>0</v>
      </c>
      <c r="BA6" s="38">
        <f>T6/E6</f>
        <v>478.14285714285717</v>
      </c>
      <c r="BB6" s="38">
        <f>U6/E6</f>
        <v>676.28571428571433</v>
      </c>
      <c r="BC6" s="38">
        <f>V6/E6</f>
        <v>912.42857142857144</v>
      </c>
      <c r="BD6" s="38">
        <f>W6/E6</f>
        <v>0</v>
      </c>
      <c r="BE6" s="38">
        <f>X6/E6</f>
        <v>1.0471428571428572</v>
      </c>
      <c r="BF6" s="38">
        <f>Y6/E6</f>
        <v>0</v>
      </c>
      <c r="BG6" s="38">
        <f>AB6/E6</f>
        <v>168.57142857142858</v>
      </c>
      <c r="BH6" s="55">
        <f>Z6/E6</f>
        <v>0</v>
      </c>
      <c r="BI6" s="38"/>
      <c r="BJ6" s="38">
        <f t="shared" si="6"/>
        <v>2497.4757142857143</v>
      </c>
    </row>
    <row r="7" spans="1:62" ht="18.75">
      <c r="A7" s="36">
        <v>45717</v>
      </c>
      <c r="B7" s="37" t="s">
        <v>39</v>
      </c>
      <c r="C7" s="38"/>
      <c r="D7" s="59" t="s">
        <v>40</v>
      </c>
      <c r="E7" s="40">
        <v>18.5</v>
      </c>
      <c r="F7" s="56"/>
      <c r="G7" s="37" t="s">
        <v>41</v>
      </c>
      <c r="H7" s="42">
        <v>5900</v>
      </c>
      <c r="I7" s="38">
        <f t="shared" si="0"/>
        <v>3452.0828000000001</v>
      </c>
      <c r="J7" s="43">
        <f t="shared" si="7"/>
        <v>3322.9174432432433</v>
      </c>
      <c r="K7" s="43">
        <f t="shared" si="8"/>
        <v>2447.9171999999999</v>
      </c>
      <c r="L7" s="43">
        <f t="shared" si="9"/>
        <v>2577.0825567567567</v>
      </c>
      <c r="M7" s="43">
        <f t="shared" si="1"/>
        <v>0.56320634631241406</v>
      </c>
      <c r="N7" s="43">
        <f t="shared" si="10"/>
        <v>0.58509877966101698</v>
      </c>
      <c r="O7" s="44">
        <f t="shared" si="2"/>
        <v>3.8871070065071754E-2</v>
      </c>
      <c r="P7" s="45">
        <v>3695</v>
      </c>
      <c r="Q7" s="45">
        <v>2234</v>
      </c>
      <c r="R7" s="51"/>
      <c r="S7" s="51"/>
      <c r="T7" s="45">
        <v>8980</v>
      </c>
      <c r="U7" s="45">
        <v>13454</v>
      </c>
      <c r="V7" s="45">
        <f>7259+7163</f>
        <v>14422</v>
      </c>
      <c r="W7" s="45"/>
      <c r="X7" s="45">
        <v>24.11</v>
      </c>
      <c r="Y7" s="45"/>
      <c r="Z7" s="45"/>
      <c r="AA7" s="45"/>
      <c r="AB7" s="45">
        <v>3370</v>
      </c>
      <c r="AC7" s="46">
        <f>IFERROR(AD7/E7,0)</f>
        <v>3322.9174432432433</v>
      </c>
      <c r="AD7" s="47">
        <f t="shared" si="3"/>
        <v>61473.972699999998</v>
      </c>
      <c r="AE7" s="48">
        <v>224</v>
      </c>
      <c r="AF7" s="46"/>
      <c r="AG7" s="50">
        <v>96</v>
      </c>
      <c r="AH7" s="46"/>
      <c r="AI7" s="50">
        <v>495</v>
      </c>
      <c r="AJ7" s="50">
        <v>740</v>
      </c>
      <c r="AK7" s="50">
        <v>800</v>
      </c>
      <c r="AL7" s="38"/>
      <c r="AM7" s="57"/>
      <c r="AN7" s="52"/>
      <c r="AO7" s="50">
        <v>2.2400000000000002</v>
      </c>
      <c r="AP7" s="38"/>
      <c r="AQ7" s="52">
        <v>155</v>
      </c>
      <c r="AR7" s="53">
        <f t="shared" si="4"/>
        <v>3452.0828000000001</v>
      </c>
      <c r="AS7" s="54">
        <f>AR7*E7</f>
        <v>63863.531800000004</v>
      </c>
      <c r="AT7" s="43">
        <f t="shared" si="5"/>
        <v>129.16535675675686</v>
      </c>
      <c r="AU7" s="41">
        <f>IFERROR(AT7*E7,0)</f>
        <v>2389.5591000000022</v>
      </c>
      <c r="AV7" s="38" t="str">
        <f>D7</f>
        <v>M25</v>
      </c>
      <c r="AW7" s="38">
        <f>P7/E7</f>
        <v>199.72972972972974</v>
      </c>
      <c r="AX7" s="38">
        <f>Q7/E7</f>
        <v>120.75675675675676</v>
      </c>
      <c r="AY7" s="38">
        <f>R7/E7</f>
        <v>0</v>
      </c>
      <c r="AZ7" s="38">
        <f>S7/E7</f>
        <v>0</v>
      </c>
      <c r="BA7" s="38">
        <f>T7/E7</f>
        <v>485.40540540540542</v>
      </c>
      <c r="BB7" s="38">
        <f>U7/E7</f>
        <v>727.24324324324323</v>
      </c>
      <c r="BC7" s="38">
        <f>V7/E7</f>
        <v>779.56756756756761</v>
      </c>
      <c r="BD7" s="38">
        <f>W7/E7</f>
        <v>0</v>
      </c>
      <c r="BE7" s="38">
        <f>X7/E7</f>
        <v>1.3032432432432433</v>
      </c>
      <c r="BF7" s="38">
        <f>Y7/E7</f>
        <v>0</v>
      </c>
      <c r="BG7" s="38">
        <f>AB7/E7</f>
        <v>182.16216216216216</v>
      </c>
      <c r="BH7" s="55">
        <f>Z7/E7</f>
        <v>0</v>
      </c>
      <c r="BI7" s="38"/>
      <c r="BJ7" s="38">
        <f t="shared" si="6"/>
        <v>2496.1681081081078</v>
      </c>
    </row>
    <row r="8" spans="1:62" ht="18.75">
      <c r="A8" s="36">
        <v>45717</v>
      </c>
      <c r="B8" s="60" t="s">
        <v>42</v>
      </c>
      <c r="C8" s="38"/>
      <c r="D8" s="59" t="s">
        <v>43</v>
      </c>
      <c r="E8" s="40">
        <v>2.5</v>
      </c>
      <c r="F8" s="56"/>
      <c r="G8" s="37" t="s">
        <v>44</v>
      </c>
      <c r="H8" s="42">
        <v>5700</v>
      </c>
      <c r="I8" s="38">
        <f t="shared" si="0"/>
        <v>3708.5709999999999</v>
      </c>
      <c r="J8" s="43">
        <f t="shared" si="7"/>
        <v>3509.6531999999993</v>
      </c>
      <c r="K8" s="43">
        <f t="shared" si="8"/>
        <v>1991.4290000000001</v>
      </c>
      <c r="L8" s="43">
        <f t="shared" si="9"/>
        <v>2190.3468000000007</v>
      </c>
      <c r="M8" s="43">
        <f t="shared" si="1"/>
        <v>0.61572863157894719</v>
      </c>
      <c r="N8" s="43">
        <f t="shared" si="10"/>
        <v>0.65062649122807015</v>
      </c>
      <c r="O8" s="44">
        <f t="shared" si="2"/>
        <v>5.6677337806482105E-2</v>
      </c>
      <c r="P8" s="45">
        <v>574</v>
      </c>
      <c r="Q8" s="45">
        <v>332</v>
      </c>
      <c r="R8" s="51"/>
      <c r="S8" s="51"/>
      <c r="T8" s="45">
        <v>1218</v>
      </c>
      <c r="U8" s="45">
        <v>1821</v>
      </c>
      <c r="V8" s="45">
        <f>967+930</f>
        <v>1897</v>
      </c>
      <c r="W8" s="45"/>
      <c r="X8" s="45">
        <v>3.8</v>
      </c>
      <c r="Y8" s="45"/>
      <c r="Z8" s="45"/>
      <c r="AA8" s="45"/>
      <c r="AB8" s="45">
        <v>454</v>
      </c>
      <c r="AC8" s="46">
        <f>IFERROR(AD8/E8,0)</f>
        <v>3509.6531999999993</v>
      </c>
      <c r="AD8" s="47">
        <f t="shared" si="3"/>
        <v>8774.132999999998</v>
      </c>
      <c r="AE8" s="48">
        <v>252</v>
      </c>
      <c r="AF8" s="46"/>
      <c r="AG8" s="50">
        <v>108</v>
      </c>
      <c r="AH8" s="46"/>
      <c r="AI8" s="50">
        <v>495</v>
      </c>
      <c r="AJ8" s="50">
        <v>743</v>
      </c>
      <c r="AK8" s="50">
        <f>300+475</f>
        <v>775</v>
      </c>
      <c r="AL8" s="38"/>
      <c r="AM8" s="57"/>
      <c r="AN8" s="52">
        <v>2.52</v>
      </c>
      <c r="AO8" s="50"/>
      <c r="AP8" s="38"/>
      <c r="AQ8" s="52">
        <v>150</v>
      </c>
      <c r="AR8" s="53">
        <f t="shared" si="4"/>
        <v>3708.5709999999999</v>
      </c>
      <c r="AS8" s="54">
        <f>AR8*E8</f>
        <v>9271.4274999999998</v>
      </c>
      <c r="AT8" s="43">
        <f t="shared" si="5"/>
        <v>198.91780000000063</v>
      </c>
      <c r="AU8" s="41">
        <f>IFERROR(AT8*E8,0)</f>
        <v>497.29450000000156</v>
      </c>
      <c r="AV8" s="38" t="str">
        <f>D8</f>
        <v>M30</v>
      </c>
      <c r="AW8" s="38">
        <f>P8/E8</f>
        <v>229.6</v>
      </c>
      <c r="AX8" s="38">
        <f>Q8/E8</f>
        <v>132.80000000000001</v>
      </c>
      <c r="AY8" s="38">
        <f>R8/E8</f>
        <v>0</v>
      </c>
      <c r="AZ8" s="38">
        <f>S8/E8</f>
        <v>0</v>
      </c>
      <c r="BA8" s="38">
        <f>T8/E8</f>
        <v>487.2</v>
      </c>
      <c r="BB8" s="38">
        <f>U8/E8</f>
        <v>728.4</v>
      </c>
      <c r="BC8" s="38">
        <f>V8/E8</f>
        <v>758.8</v>
      </c>
      <c r="BD8" s="38">
        <f>W8/E8</f>
        <v>0</v>
      </c>
      <c r="BE8" s="38">
        <f>X8/E8</f>
        <v>1.52</v>
      </c>
      <c r="BF8" s="38">
        <f>Y8/E8</f>
        <v>0</v>
      </c>
      <c r="BG8" s="38">
        <f>AB8/E8</f>
        <v>181.6</v>
      </c>
      <c r="BH8" s="55">
        <f>Z8/E8</f>
        <v>0</v>
      </c>
      <c r="BI8" s="38"/>
      <c r="BJ8" s="38">
        <f t="shared" si="6"/>
        <v>2519.92</v>
      </c>
    </row>
    <row r="9" spans="1:62" ht="18.75">
      <c r="A9" s="36">
        <v>45717</v>
      </c>
      <c r="B9" s="37" t="s">
        <v>45</v>
      </c>
      <c r="C9" s="38"/>
      <c r="D9" s="59" t="s">
        <v>43</v>
      </c>
      <c r="E9" s="40">
        <v>43</v>
      </c>
      <c r="F9" s="61"/>
      <c r="G9" s="37" t="s">
        <v>46</v>
      </c>
      <c r="H9" s="42">
        <v>6000</v>
      </c>
      <c r="I9" s="38">
        <f t="shared" si="0"/>
        <v>4033.4050000000002</v>
      </c>
      <c r="J9" s="43">
        <f t="shared" si="7"/>
        <v>3468.697820930232</v>
      </c>
      <c r="K9" s="43">
        <f t="shared" si="8"/>
        <v>1966.5949999999998</v>
      </c>
      <c r="L9" s="43">
        <f t="shared" si="9"/>
        <v>2531.302179069768</v>
      </c>
      <c r="M9" s="43">
        <f t="shared" si="1"/>
        <v>0.57811630348837195</v>
      </c>
      <c r="N9" s="43">
        <f t="shared" si="10"/>
        <v>0.67223416666666669</v>
      </c>
      <c r="O9" s="44">
        <f t="shared" si="2"/>
        <v>0.16280091498956972</v>
      </c>
      <c r="P9" s="45">
        <v>10496</v>
      </c>
      <c r="Q9" s="45">
        <v>4648</v>
      </c>
      <c r="R9" s="62"/>
      <c r="S9" s="62"/>
      <c r="T9" s="45">
        <v>20466</v>
      </c>
      <c r="U9" s="45">
        <v>30552</v>
      </c>
      <c r="V9" s="45">
        <f>15985+15944</f>
        <v>31929</v>
      </c>
      <c r="W9" s="45"/>
      <c r="X9" s="45">
        <v>66.39</v>
      </c>
      <c r="Y9" s="45"/>
      <c r="Z9" s="45"/>
      <c r="AA9" s="45"/>
      <c r="AB9" s="45">
        <v>7494</v>
      </c>
      <c r="AC9" s="46">
        <f>IFERROR(AD9/E9,0)</f>
        <v>3468.697820930232</v>
      </c>
      <c r="AD9" s="47">
        <f t="shared" si="3"/>
        <v>149154.00629999998</v>
      </c>
      <c r="AE9" s="48">
        <v>380</v>
      </c>
      <c r="AF9" s="49"/>
      <c r="AG9" s="50">
        <v>0</v>
      </c>
      <c r="AH9" s="51"/>
      <c r="AI9" s="50">
        <v>495</v>
      </c>
      <c r="AJ9" s="50">
        <v>745</v>
      </c>
      <c r="AK9" s="50">
        <f>380+380</f>
        <v>760</v>
      </c>
      <c r="AL9" s="46"/>
      <c r="AM9" s="38"/>
      <c r="AN9" s="52">
        <v>2.4700000000000002</v>
      </c>
      <c r="AO9" s="50"/>
      <c r="AP9" s="46"/>
      <c r="AQ9" s="52">
        <v>144</v>
      </c>
      <c r="AR9" s="53">
        <f t="shared" si="4"/>
        <v>4033.4050000000002</v>
      </c>
      <c r="AS9" s="54">
        <f>AR9*E9</f>
        <v>173436.41500000001</v>
      </c>
      <c r="AT9" s="43">
        <f t="shared" si="5"/>
        <v>564.70717906976824</v>
      </c>
      <c r="AU9" s="41">
        <f>IFERROR(AT9*E9,0)</f>
        <v>24282.408700000036</v>
      </c>
      <c r="AV9" s="38" t="str">
        <f>D9</f>
        <v>M30</v>
      </c>
      <c r="AW9" s="38">
        <f>P9/E9</f>
        <v>244.09302325581396</v>
      </c>
      <c r="AX9" s="38">
        <f>Q9/E9</f>
        <v>108.09302325581395</v>
      </c>
      <c r="AY9" s="38">
        <f>R9/E9</f>
        <v>0</v>
      </c>
      <c r="AZ9" s="38">
        <f>S9/E9</f>
        <v>0</v>
      </c>
      <c r="BA9" s="38">
        <f>T9/E9</f>
        <v>475.95348837209303</v>
      </c>
      <c r="BB9" s="38">
        <f>U9/E9</f>
        <v>710.51162790697674</v>
      </c>
      <c r="BC9" s="38">
        <f>V9/E9</f>
        <v>742.53488372093022</v>
      </c>
      <c r="BD9" s="38"/>
      <c r="BE9" s="38">
        <f>X9/E9</f>
        <v>1.5439534883720931</v>
      </c>
      <c r="BF9" s="38">
        <f>Y9/E9</f>
        <v>0</v>
      </c>
      <c r="BG9" s="38">
        <f>AB9/E9</f>
        <v>174.27906976744185</v>
      </c>
      <c r="BH9" s="55">
        <f>Z9/E9</f>
        <v>0</v>
      </c>
      <c r="BI9" s="38"/>
      <c r="BJ9" s="38">
        <f t="shared" si="6"/>
        <v>2457.0090697674418</v>
      </c>
    </row>
    <row r="10" spans="1:62" ht="18.75">
      <c r="A10" s="36">
        <v>45717</v>
      </c>
      <c r="B10" s="37" t="s">
        <v>47</v>
      </c>
      <c r="C10" s="38"/>
      <c r="D10" s="39" t="s">
        <v>48</v>
      </c>
      <c r="E10" s="63">
        <v>4</v>
      </c>
      <c r="F10" s="64"/>
      <c r="G10" s="37" t="s">
        <v>49</v>
      </c>
      <c r="H10" s="42">
        <v>6600</v>
      </c>
      <c r="I10" s="38">
        <f t="shared" si="0"/>
        <v>4390.09</v>
      </c>
      <c r="J10" s="43">
        <f t="shared" si="7"/>
        <v>4305.69175</v>
      </c>
      <c r="K10" s="43">
        <f t="shared" si="8"/>
        <v>2209.91</v>
      </c>
      <c r="L10" s="43">
        <f t="shared" si="9"/>
        <v>2294.30825</v>
      </c>
      <c r="M10" s="43">
        <f t="shared" si="1"/>
        <v>0.65237753787878783</v>
      </c>
      <c r="N10" s="43">
        <f t="shared" si="10"/>
        <v>0.66516515151515154</v>
      </c>
      <c r="O10" s="44">
        <f t="shared" si="2"/>
        <v>1.9601554152129105E-2</v>
      </c>
      <c r="P10" s="45">
        <v>1594</v>
      </c>
      <c r="Q10" s="45">
        <v>405</v>
      </c>
      <c r="R10" s="62"/>
      <c r="S10" s="62"/>
      <c r="T10" s="45">
        <v>1955</v>
      </c>
      <c r="U10" s="45">
        <v>2958</v>
      </c>
      <c r="V10" s="45">
        <f>1224+1219</f>
        <v>2443</v>
      </c>
      <c r="W10" s="45"/>
      <c r="X10" s="45"/>
      <c r="Y10" s="45">
        <v>11.01</v>
      </c>
      <c r="Z10" s="45"/>
      <c r="AA10" s="45"/>
      <c r="AB10" s="45">
        <v>682</v>
      </c>
      <c r="AC10" s="46">
        <f>IFERROR(AD10/E10,0)</f>
        <v>4305.69175</v>
      </c>
      <c r="AD10" s="47">
        <f t="shared" si="3"/>
        <v>17222.767</v>
      </c>
      <c r="AE10" s="48">
        <v>400</v>
      </c>
      <c r="AF10" s="49"/>
      <c r="AG10" s="50">
        <v>100</v>
      </c>
      <c r="AH10" s="51"/>
      <c r="AI10" s="50">
        <v>510</v>
      </c>
      <c r="AJ10" s="50">
        <v>750</v>
      </c>
      <c r="AK10" s="50">
        <f>295+300</f>
        <v>595</v>
      </c>
      <c r="AL10" s="46"/>
      <c r="AM10" s="38"/>
      <c r="AN10" s="52">
        <v>3.5</v>
      </c>
      <c r="AO10" s="50"/>
      <c r="AP10" s="46"/>
      <c r="AQ10" s="52">
        <v>150</v>
      </c>
      <c r="AR10" s="53">
        <f t="shared" si="4"/>
        <v>4390.09</v>
      </c>
      <c r="AS10" s="54">
        <f>AR10*E10</f>
        <v>17560.36</v>
      </c>
      <c r="AT10" s="43">
        <f t="shared" si="5"/>
        <v>84.398250000000189</v>
      </c>
      <c r="AU10" s="41">
        <f>IFERROR(AT10*E10,0)</f>
        <v>337.59300000000076</v>
      </c>
      <c r="AV10" s="38" t="str">
        <f>D10</f>
        <v>M50</v>
      </c>
      <c r="AW10" s="38">
        <f>P10/E10</f>
        <v>398.5</v>
      </c>
      <c r="AX10" s="38">
        <f>Q10/E10</f>
        <v>101.25</v>
      </c>
      <c r="AY10" s="38">
        <f>R10/E10</f>
        <v>0</v>
      </c>
      <c r="AZ10" s="38">
        <f>S10/E10</f>
        <v>0</v>
      </c>
      <c r="BA10" s="38">
        <f>T10/E10</f>
        <v>488.75</v>
      </c>
      <c r="BB10" s="38">
        <f>U10/E10</f>
        <v>739.5</v>
      </c>
      <c r="BC10" s="38">
        <f>V10/E10</f>
        <v>610.75</v>
      </c>
      <c r="BD10" s="38"/>
      <c r="BE10" s="38">
        <f>X10/E10</f>
        <v>0</v>
      </c>
      <c r="BF10" s="38">
        <f>Y10/E10</f>
        <v>2.7524999999999999</v>
      </c>
      <c r="BG10" s="38">
        <f>AB10/E10</f>
        <v>170.5</v>
      </c>
      <c r="BH10" s="55">
        <f>Z10/E10</f>
        <v>0</v>
      </c>
      <c r="BI10" s="38"/>
      <c r="BJ10" s="38">
        <f t="shared" si="6"/>
        <v>2512.0025000000001</v>
      </c>
    </row>
    <row r="11" spans="1:62" ht="18.75">
      <c r="A11" s="36">
        <v>45718</v>
      </c>
      <c r="B11" s="37" t="s">
        <v>30</v>
      </c>
      <c r="C11" s="38"/>
      <c r="D11" s="39" t="s">
        <v>31</v>
      </c>
      <c r="E11" s="40">
        <v>11</v>
      </c>
      <c r="F11" s="64"/>
      <c r="G11" s="37" t="s">
        <v>32</v>
      </c>
      <c r="H11" s="42">
        <v>5400</v>
      </c>
      <c r="I11" s="38">
        <f t="shared" si="0"/>
        <v>3003.4838000000004</v>
      </c>
      <c r="J11" s="43">
        <f t="shared" si="7"/>
        <v>2659.277590909091</v>
      </c>
      <c r="K11" s="43">
        <f t="shared" si="8"/>
        <v>2396.5161999999996</v>
      </c>
      <c r="L11" s="43">
        <f t="shared" si="9"/>
        <v>2740.722409090909</v>
      </c>
      <c r="M11" s="43">
        <f t="shared" si="1"/>
        <v>0.49245881313131318</v>
      </c>
      <c r="N11" s="43">
        <f t="shared" si="10"/>
        <v>0.55620070370370378</v>
      </c>
      <c r="O11" s="44">
        <f t="shared" si="2"/>
        <v>0.12943598301568815</v>
      </c>
      <c r="P11" s="45">
        <v>667</v>
      </c>
      <c r="Q11" s="45">
        <v>1108</v>
      </c>
      <c r="R11" s="62"/>
      <c r="S11" s="62"/>
      <c r="T11" s="45">
        <v>4911</v>
      </c>
      <c r="U11" s="45">
        <v>7639</v>
      </c>
      <c r="V11" s="45">
        <f>5603+5554</f>
        <v>11157</v>
      </c>
      <c r="W11" s="45"/>
      <c r="X11" s="45">
        <v>8.85</v>
      </c>
      <c r="Y11" s="45"/>
      <c r="Z11" s="45"/>
      <c r="AA11" s="45"/>
      <c r="AB11" s="45">
        <v>1958</v>
      </c>
      <c r="AC11" s="46">
        <f>IFERROR(AD11/E11,0)</f>
        <v>2659.277590909091</v>
      </c>
      <c r="AD11" s="47">
        <f t="shared" si="3"/>
        <v>29252.053500000002</v>
      </c>
      <c r="AE11" s="48">
        <v>154</v>
      </c>
      <c r="AF11" s="49"/>
      <c r="AG11" s="50">
        <v>66</v>
      </c>
      <c r="AH11" s="51"/>
      <c r="AI11" s="50">
        <v>480</v>
      </c>
      <c r="AJ11" s="50">
        <v>700</v>
      </c>
      <c r="AK11" s="50">
        <f>450+450</f>
        <v>900</v>
      </c>
      <c r="AL11" s="46"/>
      <c r="AM11" s="38"/>
      <c r="AN11" s="52"/>
      <c r="AO11" s="50">
        <v>1.54</v>
      </c>
      <c r="AP11" s="46"/>
      <c r="AQ11" s="52">
        <v>154</v>
      </c>
      <c r="AR11" s="53">
        <f t="shared" si="4"/>
        <v>3003.4838000000004</v>
      </c>
      <c r="AS11" s="54">
        <f>AR11*E11</f>
        <v>33038.321800000005</v>
      </c>
      <c r="AT11" s="43">
        <f t="shared" si="5"/>
        <v>344.2062090909094</v>
      </c>
      <c r="AU11" s="41">
        <f>IFERROR(AT11*E11,0)</f>
        <v>3786.2683000000034</v>
      </c>
      <c r="AV11" s="38" t="str">
        <f>D11</f>
        <v>M10</v>
      </c>
      <c r="AW11" s="38">
        <f>P11/E11</f>
        <v>60.636363636363633</v>
      </c>
      <c r="AX11" s="38">
        <f>Q11/E11</f>
        <v>100.72727272727273</v>
      </c>
      <c r="AY11" s="38">
        <f>R11/E11</f>
        <v>0</v>
      </c>
      <c r="AZ11" s="38">
        <f>S11/E11</f>
        <v>0</v>
      </c>
      <c r="BA11" s="38">
        <f>T11/E11</f>
        <v>446.45454545454544</v>
      </c>
      <c r="BB11" s="38">
        <f>U11/E11</f>
        <v>694.4545454545455</v>
      </c>
      <c r="BC11" s="38">
        <f>V11/E11</f>
        <v>1014.2727272727273</v>
      </c>
      <c r="BD11" s="38"/>
      <c r="BE11" s="38">
        <f>X11/E11</f>
        <v>0.80454545454545456</v>
      </c>
      <c r="BF11" s="38">
        <f>Y11/E11</f>
        <v>0</v>
      </c>
      <c r="BG11" s="38">
        <f>AB11/E11</f>
        <v>178</v>
      </c>
      <c r="BH11" s="55">
        <f>Z11/E11</f>
        <v>0</v>
      </c>
      <c r="BI11" s="38"/>
      <c r="BJ11" s="38">
        <f t="shared" si="6"/>
        <v>2495.35</v>
      </c>
    </row>
    <row r="12" spans="1:62" ht="18.75">
      <c r="A12" s="36">
        <v>45718</v>
      </c>
      <c r="B12" s="37" t="s">
        <v>36</v>
      </c>
      <c r="C12" s="38"/>
      <c r="D12" s="39" t="s">
        <v>37</v>
      </c>
      <c r="E12" s="40">
        <v>6</v>
      </c>
      <c r="F12" s="64"/>
      <c r="G12" s="37" t="s">
        <v>38</v>
      </c>
      <c r="H12" s="42">
        <v>5450</v>
      </c>
      <c r="I12" s="38">
        <f t="shared" si="0"/>
        <v>3382.0320000000002</v>
      </c>
      <c r="J12" s="43">
        <f t="shared" si="7"/>
        <v>3114.9265666666665</v>
      </c>
      <c r="K12" s="43">
        <f t="shared" si="8"/>
        <v>2067.9679999999998</v>
      </c>
      <c r="L12" s="43">
        <f t="shared" si="9"/>
        <v>2335.0734333333335</v>
      </c>
      <c r="M12" s="43">
        <f t="shared" si="1"/>
        <v>0.57154615902140671</v>
      </c>
      <c r="N12" s="43">
        <f t="shared" si="10"/>
        <v>0.62055633027522938</v>
      </c>
      <c r="O12" s="44">
        <f t="shared" si="2"/>
        <v>8.5750154174314114E-2</v>
      </c>
      <c r="P12" s="45">
        <v>835</v>
      </c>
      <c r="Q12" s="45">
        <v>843</v>
      </c>
      <c r="R12" s="62"/>
      <c r="S12" s="62"/>
      <c r="T12" s="45">
        <v>2912</v>
      </c>
      <c r="U12" s="45">
        <v>4343</v>
      </c>
      <c r="V12" s="45">
        <f>2564+2547</f>
        <v>5111</v>
      </c>
      <c r="W12" s="45"/>
      <c r="X12" s="45">
        <v>6.02</v>
      </c>
      <c r="Y12" s="45"/>
      <c r="Z12" s="45"/>
      <c r="AA12" s="45"/>
      <c r="AB12" s="45">
        <v>1053</v>
      </c>
      <c r="AC12" s="46">
        <f>IFERROR(AD12/E12,0)</f>
        <v>3114.9265666666665</v>
      </c>
      <c r="AD12" s="47">
        <f t="shared" si="3"/>
        <v>18689.559399999998</v>
      </c>
      <c r="AE12" s="48">
        <v>210</v>
      </c>
      <c r="AF12" s="49"/>
      <c r="AG12" s="50">
        <v>90</v>
      </c>
      <c r="AH12" s="51"/>
      <c r="AI12" s="50">
        <v>500</v>
      </c>
      <c r="AJ12" s="50">
        <v>755</v>
      </c>
      <c r="AK12" s="50">
        <v>810</v>
      </c>
      <c r="AL12" s="46"/>
      <c r="AM12" s="38"/>
      <c r="AN12" s="52"/>
      <c r="AO12" s="52">
        <v>2.1</v>
      </c>
      <c r="AP12" s="46"/>
      <c r="AQ12" s="52">
        <v>159</v>
      </c>
      <c r="AR12" s="53">
        <f t="shared" si="4"/>
        <v>3382.0320000000002</v>
      </c>
      <c r="AS12" s="54">
        <f>AR12*E12</f>
        <v>20292.192000000003</v>
      </c>
      <c r="AT12" s="43">
        <f t="shared" si="5"/>
        <v>267.10543333333362</v>
      </c>
      <c r="AU12" s="41">
        <f>IFERROR(AT12*E12,0)</f>
        <v>1602.6326000000017</v>
      </c>
      <c r="AV12" s="38" t="str">
        <f>D12</f>
        <v>M20</v>
      </c>
      <c r="AW12" s="38">
        <f>P12/E12</f>
        <v>139.16666666666666</v>
      </c>
      <c r="AX12" s="38">
        <f>Q12/E12</f>
        <v>140.5</v>
      </c>
      <c r="AY12" s="38">
        <f>R12/E12</f>
        <v>0</v>
      </c>
      <c r="AZ12" s="38">
        <f>S12/E12</f>
        <v>0</v>
      </c>
      <c r="BA12" s="38">
        <f>T12/E12</f>
        <v>485.33333333333331</v>
      </c>
      <c r="BB12" s="38">
        <f>U12/E12</f>
        <v>723.83333333333337</v>
      </c>
      <c r="BC12" s="38">
        <f>V12/E12</f>
        <v>851.83333333333337</v>
      </c>
      <c r="BD12" s="38"/>
      <c r="BE12" s="38">
        <f>X12/E12</f>
        <v>1.0033333333333332</v>
      </c>
      <c r="BF12" s="38">
        <f>Y12/E12</f>
        <v>0</v>
      </c>
      <c r="BG12" s="38">
        <f>AB12/E12</f>
        <v>175.5</v>
      </c>
      <c r="BH12" s="55">
        <f>Z12/E12</f>
        <v>0</v>
      </c>
      <c r="BI12" s="38"/>
      <c r="BJ12" s="38">
        <f t="shared" si="6"/>
        <v>2517.1700000000005</v>
      </c>
    </row>
    <row r="13" spans="1:62" ht="18.75">
      <c r="A13" s="36">
        <v>45718</v>
      </c>
      <c r="B13" s="65" t="s">
        <v>50</v>
      </c>
      <c r="C13" s="38"/>
      <c r="D13" s="39" t="s">
        <v>40</v>
      </c>
      <c r="E13" s="66">
        <v>2</v>
      </c>
      <c r="F13" s="64"/>
      <c r="G13" s="37" t="s">
        <v>41</v>
      </c>
      <c r="H13" s="42">
        <v>5800</v>
      </c>
      <c r="I13" s="38">
        <f t="shared" si="0"/>
        <v>3452.0828000000001</v>
      </c>
      <c r="J13" s="43">
        <f t="shared" si="7"/>
        <v>3181.140333333331</v>
      </c>
      <c r="K13" s="43">
        <f t="shared" si="8"/>
        <v>2347.9171999999999</v>
      </c>
      <c r="L13" s="43">
        <f t="shared" si="9"/>
        <v>2618.859666666669</v>
      </c>
      <c r="M13" s="43">
        <f t="shared" si="1"/>
        <v>0.54847247126436738</v>
      </c>
      <c r="N13" s="43">
        <f t="shared" si="10"/>
        <v>0.59518668965517241</v>
      </c>
      <c r="O13" s="44">
        <f t="shared" si="2"/>
        <v>8.5171491438972263E-2</v>
      </c>
      <c r="P13" s="45">
        <v>280.222222222222</v>
      </c>
      <c r="Q13" s="45">
        <v>342.88888888888891</v>
      </c>
      <c r="R13" s="62"/>
      <c r="S13" s="62"/>
      <c r="T13" s="45">
        <v>971.55555555555554</v>
      </c>
      <c r="U13" s="45">
        <v>1456.44444444444</v>
      </c>
      <c r="V13" s="45">
        <v>1598.8888888888889</v>
      </c>
      <c r="W13" s="45"/>
      <c r="X13" s="45">
        <v>2.4444444444444446</v>
      </c>
      <c r="Y13" s="45"/>
      <c r="Z13" s="45"/>
      <c r="AA13" s="45"/>
      <c r="AB13" s="45">
        <v>364</v>
      </c>
      <c r="AC13" s="46">
        <f>IFERROR(AD13/E13,0)</f>
        <v>3181.140333333331</v>
      </c>
      <c r="AD13" s="47">
        <f t="shared" si="3"/>
        <v>6362.280666666662</v>
      </c>
      <c r="AE13" s="48">
        <v>224</v>
      </c>
      <c r="AF13" s="49"/>
      <c r="AG13" s="50">
        <v>96</v>
      </c>
      <c r="AH13" s="51"/>
      <c r="AI13" s="50">
        <v>495</v>
      </c>
      <c r="AJ13" s="50">
        <v>740</v>
      </c>
      <c r="AK13" s="50">
        <v>800</v>
      </c>
      <c r="AL13" s="46"/>
      <c r="AM13" s="38"/>
      <c r="AN13" s="52"/>
      <c r="AO13" s="50">
        <v>2.2400000000000002</v>
      </c>
      <c r="AP13" s="46"/>
      <c r="AQ13" s="52">
        <v>155</v>
      </c>
      <c r="AR13" s="53">
        <f t="shared" si="4"/>
        <v>3452.0828000000001</v>
      </c>
      <c r="AS13" s="54">
        <f>AR13*E13</f>
        <v>6904.1656000000003</v>
      </c>
      <c r="AT13" s="43">
        <f t="shared" si="5"/>
        <v>270.94246666666913</v>
      </c>
      <c r="AU13" s="41">
        <f>IFERROR(AT13*E13,0)</f>
        <v>541.88493333333827</v>
      </c>
      <c r="AV13" s="38" t="str">
        <f>D13</f>
        <v>M25</v>
      </c>
      <c r="AW13" s="38">
        <f>P13/E13</f>
        <v>140.111111111111</v>
      </c>
      <c r="AX13" s="38">
        <f>Q13/E13</f>
        <v>171.44444444444446</v>
      </c>
      <c r="AY13" s="38">
        <f>R13/E13</f>
        <v>0</v>
      </c>
      <c r="AZ13" s="38">
        <f>S13/E13</f>
        <v>0</v>
      </c>
      <c r="BA13" s="38">
        <f>T13/E13</f>
        <v>485.77777777777777</v>
      </c>
      <c r="BB13" s="38">
        <f>U13/E13</f>
        <v>728.22222222222001</v>
      </c>
      <c r="BC13" s="38">
        <f>V13/E13</f>
        <v>799.44444444444446</v>
      </c>
      <c r="BD13" s="38"/>
      <c r="BE13" s="38">
        <f>X13/E13</f>
        <v>1.2222222222222223</v>
      </c>
      <c r="BF13" s="38">
        <f>Y13/E13</f>
        <v>0</v>
      </c>
      <c r="BG13" s="38">
        <f>AB13/E13</f>
        <v>182</v>
      </c>
      <c r="BH13" s="55">
        <f>Z13/E13</f>
        <v>0</v>
      </c>
      <c r="BI13" s="38"/>
      <c r="BJ13" s="38">
        <f t="shared" si="6"/>
        <v>2508.2222222222199</v>
      </c>
    </row>
    <row r="14" spans="1:62" ht="18.75">
      <c r="A14" s="36">
        <v>45718</v>
      </c>
      <c r="B14" s="37" t="s">
        <v>51</v>
      </c>
      <c r="C14" s="38"/>
      <c r="D14" s="39" t="s">
        <v>40</v>
      </c>
      <c r="E14" s="66">
        <v>7</v>
      </c>
      <c r="F14" s="41"/>
      <c r="G14" s="37" t="s">
        <v>41</v>
      </c>
      <c r="H14" s="42">
        <v>5600</v>
      </c>
      <c r="I14" s="38">
        <f t="shared" si="0"/>
        <v>3452.0828000000001</v>
      </c>
      <c r="J14" s="43">
        <f t="shared" si="7"/>
        <v>3181.1403333333328</v>
      </c>
      <c r="K14" s="43">
        <f t="shared" si="8"/>
        <v>2147.9171999999999</v>
      </c>
      <c r="L14" s="43">
        <f t="shared" si="9"/>
        <v>2418.8596666666672</v>
      </c>
      <c r="M14" s="43">
        <f t="shared" si="1"/>
        <v>0.56806077380952369</v>
      </c>
      <c r="N14" s="43">
        <f t="shared" si="10"/>
        <v>0.61644335714285714</v>
      </c>
      <c r="O14" s="44">
        <f t="shared" si="2"/>
        <v>8.5171491438971639E-2</v>
      </c>
      <c r="P14" s="45">
        <v>980.77777777777703</v>
      </c>
      <c r="Q14" s="45">
        <v>1200.1111111111113</v>
      </c>
      <c r="R14" s="67"/>
      <c r="S14" s="68"/>
      <c r="T14" s="45">
        <v>3400.4444444444443</v>
      </c>
      <c r="U14" s="45">
        <v>5097.5555555555502</v>
      </c>
      <c r="V14" s="45">
        <v>5596.1111111111113</v>
      </c>
      <c r="W14" s="45"/>
      <c r="X14" s="45">
        <v>8.5555555555555571</v>
      </c>
      <c r="Y14" s="45"/>
      <c r="Z14" s="45"/>
      <c r="AA14" s="45"/>
      <c r="AB14" s="45">
        <v>1274</v>
      </c>
      <c r="AC14" s="46">
        <f>IFERROR(AD14/E14,0)</f>
        <v>3181.1403333333328</v>
      </c>
      <c r="AD14" s="47">
        <f t="shared" si="3"/>
        <v>22267.98233333333</v>
      </c>
      <c r="AE14" s="48">
        <v>224</v>
      </c>
      <c r="AF14" s="49"/>
      <c r="AG14" s="50">
        <v>96</v>
      </c>
      <c r="AH14" s="51"/>
      <c r="AI14" s="50">
        <v>495</v>
      </c>
      <c r="AJ14" s="50">
        <v>740</v>
      </c>
      <c r="AK14" s="50">
        <v>800</v>
      </c>
      <c r="AL14" s="46"/>
      <c r="AM14" s="38"/>
      <c r="AN14" s="52"/>
      <c r="AO14" s="50">
        <v>2.2400000000000002</v>
      </c>
      <c r="AP14" s="46"/>
      <c r="AQ14" s="52">
        <v>155</v>
      </c>
      <c r="AR14" s="53">
        <f t="shared" si="4"/>
        <v>3452.0828000000001</v>
      </c>
      <c r="AS14" s="54">
        <f>AR14*E14</f>
        <v>24164.579600000001</v>
      </c>
      <c r="AT14" s="43">
        <f t="shared" si="5"/>
        <v>270.94246666666731</v>
      </c>
      <c r="AU14" s="41">
        <f>IFERROR(AT14*E14,0)</f>
        <v>1896.5972666666712</v>
      </c>
      <c r="AV14" s="38" t="str">
        <f>D14</f>
        <v>M25</v>
      </c>
      <c r="AW14" s="38">
        <f>P14/E14</f>
        <v>140.111111111111</v>
      </c>
      <c r="AX14" s="38">
        <f>Q14/E14</f>
        <v>171.44444444444449</v>
      </c>
      <c r="AY14" s="38">
        <f>R14/E14</f>
        <v>0</v>
      </c>
      <c r="AZ14" s="38">
        <f>S14/E14</f>
        <v>0</v>
      </c>
      <c r="BA14" s="38">
        <f>T14/E14</f>
        <v>485.77777777777777</v>
      </c>
      <c r="BB14" s="38">
        <f>U14/E14</f>
        <v>728.22222222222149</v>
      </c>
      <c r="BC14" s="38">
        <f>V14/E14</f>
        <v>799.44444444444446</v>
      </c>
      <c r="BD14" s="38"/>
      <c r="BE14" s="38">
        <f>X14/E14</f>
        <v>1.2222222222222225</v>
      </c>
      <c r="BF14" s="38">
        <f>Y14/E14</f>
        <v>0</v>
      </c>
      <c r="BG14" s="38">
        <f>AB14/E14</f>
        <v>182</v>
      </c>
      <c r="BH14" s="55">
        <f>Z14/E14</f>
        <v>0</v>
      </c>
      <c r="BI14" s="38"/>
      <c r="BJ14" s="38">
        <f t="shared" si="6"/>
        <v>2508.2222222222213</v>
      </c>
    </row>
    <row r="15" spans="1:62" ht="18.75">
      <c r="A15" s="36">
        <v>45718</v>
      </c>
      <c r="B15" s="37" t="s">
        <v>36</v>
      </c>
      <c r="C15" s="38"/>
      <c r="D15" s="39" t="s">
        <v>43</v>
      </c>
      <c r="E15" s="66">
        <v>19.5</v>
      </c>
      <c r="F15" s="41"/>
      <c r="G15" s="37" t="s">
        <v>44</v>
      </c>
      <c r="H15" s="42">
        <v>6000</v>
      </c>
      <c r="I15" s="38">
        <f t="shared" si="0"/>
        <v>3627.3514</v>
      </c>
      <c r="J15" s="43">
        <f t="shared" si="7"/>
        <v>3406.7264947368417</v>
      </c>
      <c r="K15" s="43">
        <f t="shared" si="8"/>
        <v>2372.6486</v>
      </c>
      <c r="L15" s="43">
        <f t="shared" si="9"/>
        <v>2593.2735052631583</v>
      </c>
      <c r="M15" s="43">
        <f t="shared" si="1"/>
        <v>0.56778774912280694</v>
      </c>
      <c r="N15" s="43">
        <f t="shared" si="10"/>
        <v>0.60455856666666663</v>
      </c>
      <c r="O15" s="44">
        <f t="shared" si="2"/>
        <v>6.4761555001262489E-2</v>
      </c>
      <c r="P15" s="45">
        <v>4090.2105263157891</v>
      </c>
      <c r="Q15" s="45">
        <v>2550.0526315789471</v>
      </c>
      <c r="R15" s="69"/>
      <c r="S15" s="70"/>
      <c r="T15" s="45">
        <v>9469.4736842105267</v>
      </c>
      <c r="U15" s="45">
        <v>14345.157894736842</v>
      </c>
      <c r="V15" s="45">
        <v>14956.842105263157</v>
      </c>
      <c r="W15" s="45"/>
      <c r="X15" s="45">
        <v>27.457368421052632</v>
      </c>
      <c r="Y15" s="45"/>
      <c r="Z15" s="45"/>
      <c r="AA15" s="45"/>
      <c r="AB15" s="45">
        <v>3463.4736842105262</v>
      </c>
      <c r="AC15" s="46">
        <f>IFERROR(AD15/E15,0)</f>
        <v>3406.7264947368417</v>
      </c>
      <c r="AD15" s="47">
        <f t="shared" si="3"/>
        <v>66431.166647368416</v>
      </c>
      <c r="AE15" s="48">
        <v>252</v>
      </c>
      <c r="AF15" s="49"/>
      <c r="AG15" s="50">
        <v>108</v>
      </c>
      <c r="AH15" s="51"/>
      <c r="AI15" s="50">
        <v>495</v>
      </c>
      <c r="AJ15" s="50">
        <v>743</v>
      </c>
      <c r="AK15" s="50">
        <f>300+475</f>
        <v>775</v>
      </c>
      <c r="AL15" s="46"/>
      <c r="AM15" s="38"/>
      <c r="AN15" s="52"/>
      <c r="AO15" s="50">
        <v>2.52</v>
      </c>
      <c r="AP15" s="46"/>
      <c r="AQ15" s="52">
        <v>150</v>
      </c>
      <c r="AR15" s="53">
        <f t="shared" si="4"/>
        <v>3627.3514</v>
      </c>
      <c r="AS15" s="54">
        <f>AR15*E15</f>
        <v>70733.352299999999</v>
      </c>
      <c r="AT15" s="43">
        <f t="shared" si="5"/>
        <v>220.62490526315833</v>
      </c>
      <c r="AU15" s="41">
        <f>IFERROR(AT15*E15,0)</f>
        <v>4302.1856526315878</v>
      </c>
      <c r="AV15" s="38" t="str">
        <f>D15</f>
        <v>M30</v>
      </c>
      <c r="AW15" s="38">
        <f>P15/E15</f>
        <v>209.75438596491227</v>
      </c>
      <c r="AX15" s="38">
        <f>Q15/E15</f>
        <v>130.7719298245614</v>
      </c>
      <c r="AY15" s="38">
        <f>R15/E15</f>
        <v>0</v>
      </c>
      <c r="AZ15" s="38">
        <f>S15/E15</f>
        <v>0</v>
      </c>
      <c r="BA15" s="38">
        <f>T15/E15</f>
        <v>485.61403508771934</v>
      </c>
      <c r="BB15" s="38">
        <f>U15/E15</f>
        <v>735.64912280701753</v>
      </c>
      <c r="BC15" s="38">
        <f>V15/E15</f>
        <v>767.01754385964909</v>
      </c>
      <c r="BD15" s="38"/>
      <c r="BE15" s="38">
        <f>X15/E15</f>
        <v>1.4080701754385965</v>
      </c>
      <c r="BF15" s="38">
        <f>Y15/E15</f>
        <v>0</v>
      </c>
      <c r="BG15" s="38">
        <f>AB15/E15</f>
        <v>177.61403508771929</v>
      </c>
      <c r="BH15" s="55">
        <f>Z15/E15</f>
        <v>0</v>
      </c>
      <c r="BI15" s="38"/>
      <c r="BJ15" s="38">
        <f t="shared" si="6"/>
        <v>2507.8291228070179</v>
      </c>
    </row>
    <row r="16" spans="1:62" ht="18.75">
      <c r="A16" s="36">
        <v>45718</v>
      </c>
      <c r="B16" s="37" t="s">
        <v>52</v>
      </c>
      <c r="C16" s="38"/>
      <c r="D16" s="39" t="s">
        <v>43</v>
      </c>
      <c r="E16" s="40">
        <v>9</v>
      </c>
      <c r="F16" s="41"/>
      <c r="G16" s="37" t="s">
        <v>53</v>
      </c>
      <c r="H16" s="42">
        <v>6000</v>
      </c>
      <c r="I16" s="38">
        <f t="shared" si="0"/>
        <v>4155.9520000000002</v>
      </c>
      <c r="J16" s="43">
        <f t="shared" si="7"/>
        <v>3406.7264947368421</v>
      </c>
      <c r="K16" s="43">
        <f t="shared" si="8"/>
        <v>1844.0479999999998</v>
      </c>
      <c r="L16" s="43">
        <f t="shared" si="9"/>
        <v>2593.2735052631579</v>
      </c>
      <c r="M16" s="43">
        <f t="shared" si="1"/>
        <v>0.56778774912280705</v>
      </c>
      <c r="N16" s="43">
        <f t="shared" si="10"/>
        <v>0.69265866666666676</v>
      </c>
      <c r="O16" s="44">
        <f t="shared" si="2"/>
        <v>0.21992534664014268</v>
      </c>
      <c r="P16" s="45">
        <v>1887.7894736842104</v>
      </c>
      <c r="Q16" s="45">
        <v>1176.9473684210525</v>
      </c>
      <c r="R16" s="69"/>
      <c r="S16" s="70"/>
      <c r="T16" s="45">
        <v>4370.5263157894733</v>
      </c>
      <c r="U16" s="45">
        <v>6620.8421052631575</v>
      </c>
      <c r="V16" s="45">
        <v>6903.1578947368416</v>
      </c>
      <c r="W16" s="45"/>
      <c r="X16" s="45">
        <v>12.672631578947367</v>
      </c>
      <c r="Y16" s="45"/>
      <c r="Z16" s="45"/>
      <c r="AA16" s="45"/>
      <c r="AB16" s="45">
        <v>1598.5263157894735</v>
      </c>
      <c r="AC16" s="46">
        <f>IFERROR(AD16/E16,0)</f>
        <v>3406.7264947368421</v>
      </c>
      <c r="AD16" s="47">
        <f t="shared" si="3"/>
        <v>30660.538452631579</v>
      </c>
      <c r="AE16" s="48">
        <v>410</v>
      </c>
      <c r="AF16" s="49"/>
      <c r="AG16" s="50">
        <v>0</v>
      </c>
      <c r="AH16" s="51"/>
      <c r="AI16" s="50">
        <v>484</v>
      </c>
      <c r="AJ16" s="50">
        <v>724</v>
      </c>
      <c r="AK16" s="50">
        <v>727</v>
      </c>
      <c r="AL16" s="46"/>
      <c r="AM16" s="38"/>
      <c r="AN16" s="52">
        <v>2.78</v>
      </c>
      <c r="AO16" s="50"/>
      <c r="AP16" s="46"/>
      <c r="AQ16" s="52">
        <v>156</v>
      </c>
      <c r="AR16" s="53">
        <f t="shared" si="4"/>
        <v>4155.9520000000002</v>
      </c>
      <c r="AS16" s="54">
        <f>AR16*E16</f>
        <v>37403.567999999999</v>
      </c>
      <c r="AT16" s="43">
        <f t="shared" si="5"/>
        <v>749.22550526315808</v>
      </c>
      <c r="AU16" s="41">
        <f>IFERROR(AT16*E16,0)</f>
        <v>6743.0295473684228</v>
      </c>
      <c r="AV16" s="38" t="str">
        <f>D16</f>
        <v>M30</v>
      </c>
      <c r="AW16" s="38">
        <f>P16/E16</f>
        <v>209.75438596491227</v>
      </c>
      <c r="AX16" s="38">
        <f>Q16/E16</f>
        <v>130.7719298245614</v>
      </c>
      <c r="AY16" s="38">
        <f>R16/E16</f>
        <v>0</v>
      </c>
      <c r="AZ16" s="38">
        <f>S16/E16</f>
        <v>0</v>
      </c>
      <c r="BA16" s="38">
        <f>T16/E16</f>
        <v>485.61403508771923</v>
      </c>
      <c r="BB16" s="38">
        <f>U16/E16</f>
        <v>735.64912280701753</v>
      </c>
      <c r="BC16" s="38">
        <f>V16/E16</f>
        <v>767.01754385964909</v>
      </c>
      <c r="BD16" s="38"/>
      <c r="BE16" s="38">
        <f>X16/E16</f>
        <v>1.4080701754385965</v>
      </c>
      <c r="BF16" s="38">
        <f>Y16/E16</f>
        <v>0</v>
      </c>
      <c r="BG16" s="38">
        <f>AB16/E16</f>
        <v>177.61403508771929</v>
      </c>
      <c r="BH16" s="55">
        <f>Z16/E16</f>
        <v>0</v>
      </c>
      <c r="BI16" s="38"/>
      <c r="BJ16" s="38">
        <f t="shared" si="6"/>
        <v>2507.8291228070179</v>
      </c>
    </row>
    <row r="17" spans="1:62" ht="18.75">
      <c r="A17" s="36">
        <v>45718</v>
      </c>
      <c r="B17" s="37" t="s">
        <v>36</v>
      </c>
      <c r="C17" s="38"/>
      <c r="D17" s="39" t="s">
        <v>43</v>
      </c>
      <c r="E17" s="66">
        <v>6</v>
      </c>
      <c r="F17" s="41"/>
      <c r="G17" s="37" t="s">
        <v>44</v>
      </c>
      <c r="H17" s="42">
        <v>6000</v>
      </c>
      <c r="I17" s="38">
        <f t="shared" si="0"/>
        <v>3627.3514</v>
      </c>
      <c r="J17" s="43">
        <f t="shared" si="7"/>
        <v>3566.5337333333337</v>
      </c>
      <c r="K17" s="43">
        <f t="shared" si="8"/>
        <v>2372.6486</v>
      </c>
      <c r="L17" s="43">
        <f t="shared" si="9"/>
        <v>2433.4662666666663</v>
      </c>
      <c r="M17" s="43">
        <f t="shared" si="1"/>
        <v>0.59442228888888893</v>
      </c>
      <c r="N17" s="43">
        <f t="shared" si="10"/>
        <v>0.60455856666666663</v>
      </c>
      <c r="O17" s="44">
        <f t="shared" si="2"/>
        <v>1.7052317800405368E-2</v>
      </c>
      <c r="P17" s="45">
        <v>1495</v>
      </c>
      <c r="Q17" s="45">
        <v>663</v>
      </c>
      <c r="R17" s="62"/>
      <c r="S17" s="62"/>
      <c r="T17" s="45">
        <v>2934</v>
      </c>
      <c r="U17" s="45">
        <v>4457</v>
      </c>
      <c r="V17" s="45">
        <f>2278+2296</f>
        <v>4574</v>
      </c>
      <c r="W17" s="45"/>
      <c r="X17" s="45">
        <v>9.7200000000000006</v>
      </c>
      <c r="Y17" s="45"/>
      <c r="Z17" s="45"/>
      <c r="AA17" s="45"/>
      <c r="AB17" s="45">
        <v>1085</v>
      </c>
      <c r="AC17" s="46">
        <f>IFERROR(AD17/E17,0)</f>
        <v>3566.5337333333337</v>
      </c>
      <c r="AD17" s="47">
        <f t="shared" si="3"/>
        <v>21399.202400000002</v>
      </c>
      <c r="AE17" s="48">
        <v>252</v>
      </c>
      <c r="AF17" s="49"/>
      <c r="AG17" s="50">
        <v>108</v>
      </c>
      <c r="AH17" s="51"/>
      <c r="AI17" s="50">
        <v>495</v>
      </c>
      <c r="AJ17" s="50">
        <v>743</v>
      </c>
      <c r="AK17" s="50">
        <f>300+475</f>
        <v>775</v>
      </c>
      <c r="AL17" s="46"/>
      <c r="AM17" s="38"/>
      <c r="AN17" s="52"/>
      <c r="AO17" s="50">
        <v>2.52</v>
      </c>
      <c r="AP17" s="46"/>
      <c r="AQ17" s="52">
        <v>150</v>
      </c>
      <c r="AR17" s="53">
        <f t="shared" si="4"/>
        <v>3627.3514</v>
      </c>
      <c r="AS17" s="54">
        <f>AR17*E17</f>
        <v>21764.108400000001</v>
      </c>
      <c r="AT17" s="43">
        <f t="shared" si="5"/>
        <v>60.817666666666355</v>
      </c>
      <c r="AU17" s="41">
        <f>IFERROR(AT17*E17,0)</f>
        <v>364.90599999999813</v>
      </c>
      <c r="AV17" s="38" t="str">
        <f>D17</f>
        <v>M30</v>
      </c>
      <c r="AW17" s="38">
        <f>P17/E17</f>
        <v>249.16666666666666</v>
      </c>
      <c r="AX17" s="38">
        <f>Q17/E17</f>
        <v>110.5</v>
      </c>
      <c r="AY17" s="38">
        <f>R17/E17</f>
        <v>0</v>
      </c>
      <c r="AZ17" s="38">
        <f>S17/E17</f>
        <v>0</v>
      </c>
      <c r="BA17" s="38">
        <f>T17/E17</f>
        <v>489</v>
      </c>
      <c r="BB17" s="38">
        <f>U17/E17</f>
        <v>742.83333333333337</v>
      </c>
      <c r="BC17" s="38">
        <f>V17/E17</f>
        <v>762.33333333333337</v>
      </c>
      <c r="BD17" s="38"/>
      <c r="BE17" s="38">
        <f>X17/E17</f>
        <v>1.62</v>
      </c>
      <c r="BF17" s="38">
        <f>Y17/E17</f>
        <v>0</v>
      </c>
      <c r="BG17" s="38">
        <f>AB17/E17</f>
        <v>180.83333333333334</v>
      </c>
      <c r="BH17" s="55">
        <f>Z17/E17</f>
        <v>0</v>
      </c>
      <c r="BI17" s="38"/>
      <c r="BJ17" s="38">
        <f t="shared" si="6"/>
        <v>2536.2866666666669</v>
      </c>
    </row>
    <row r="18" spans="1:62" ht="18.75">
      <c r="A18" s="36">
        <v>45718</v>
      </c>
      <c r="B18" s="37" t="s">
        <v>47</v>
      </c>
      <c r="C18" s="38"/>
      <c r="D18" s="39" t="s">
        <v>48</v>
      </c>
      <c r="E18" s="66">
        <v>4</v>
      </c>
      <c r="F18" s="41"/>
      <c r="G18" s="37" t="s">
        <v>49</v>
      </c>
      <c r="H18" s="42">
        <v>6600</v>
      </c>
      <c r="I18" s="38">
        <f t="shared" si="0"/>
        <v>4390.09</v>
      </c>
      <c r="J18" s="43">
        <f t="shared" si="7"/>
        <v>4290.3247499999998</v>
      </c>
      <c r="K18" s="43">
        <f t="shared" si="8"/>
        <v>2209.91</v>
      </c>
      <c r="L18" s="43">
        <f t="shared" si="9"/>
        <v>2309.6752500000002</v>
      </c>
      <c r="M18" s="43">
        <f t="shared" si="1"/>
        <v>0.65004920454545456</v>
      </c>
      <c r="N18" s="43">
        <f t="shared" si="10"/>
        <v>0.66516515151515154</v>
      </c>
      <c r="O18" s="44">
        <f t="shared" si="2"/>
        <v>2.3253542753377834E-2</v>
      </c>
      <c r="P18" s="45">
        <v>1589</v>
      </c>
      <c r="Q18" s="45">
        <v>404</v>
      </c>
      <c r="R18" s="62"/>
      <c r="S18" s="62"/>
      <c r="T18" s="45">
        <v>1950</v>
      </c>
      <c r="U18" s="45">
        <v>2923</v>
      </c>
      <c r="V18" s="45">
        <f>1254+1196</f>
        <v>2450</v>
      </c>
      <c r="W18" s="45"/>
      <c r="X18" s="45"/>
      <c r="Y18" s="45">
        <v>10.98</v>
      </c>
      <c r="Z18" s="45"/>
      <c r="AA18" s="45"/>
      <c r="AB18" s="45">
        <v>685</v>
      </c>
      <c r="AC18" s="46">
        <f>IFERROR(AD18/E18,0)</f>
        <v>4290.3247499999998</v>
      </c>
      <c r="AD18" s="47">
        <f t="shared" si="3"/>
        <v>17161.298999999999</v>
      </c>
      <c r="AE18" s="48">
        <v>400</v>
      </c>
      <c r="AF18" s="49"/>
      <c r="AG18" s="50">
        <v>100</v>
      </c>
      <c r="AH18" s="51"/>
      <c r="AI18" s="50">
        <v>510</v>
      </c>
      <c r="AJ18" s="50">
        <v>750</v>
      </c>
      <c r="AK18" s="50">
        <f>295+300</f>
        <v>595</v>
      </c>
      <c r="AL18" s="46"/>
      <c r="AM18" s="38"/>
      <c r="AN18" s="52">
        <v>3.5</v>
      </c>
      <c r="AO18" s="50"/>
      <c r="AP18" s="46"/>
      <c r="AQ18" s="52">
        <v>150</v>
      </c>
      <c r="AR18" s="53">
        <f t="shared" si="4"/>
        <v>4390.09</v>
      </c>
      <c r="AS18" s="54">
        <f>AR18*E18</f>
        <v>17560.36</v>
      </c>
      <c r="AT18" s="43">
        <f t="shared" si="5"/>
        <v>99.765250000000378</v>
      </c>
      <c r="AU18" s="41">
        <f>IFERROR(AT18*E18,0)</f>
        <v>399.06100000000151</v>
      </c>
      <c r="AV18" s="38" t="str">
        <f>D18</f>
        <v>M50</v>
      </c>
      <c r="AW18" s="38">
        <f>P18/E18</f>
        <v>397.25</v>
      </c>
      <c r="AX18" s="38">
        <f>Q18/E18</f>
        <v>101</v>
      </c>
      <c r="AY18" s="38">
        <f>R18/E18</f>
        <v>0</v>
      </c>
      <c r="AZ18" s="38">
        <f>S18/E18</f>
        <v>0</v>
      </c>
      <c r="BA18" s="38">
        <f>T18/E18</f>
        <v>487.5</v>
      </c>
      <c r="BB18" s="38">
        <f>U18/E18</f>
        <v>730.75</v>
      </c>
      <c r="BC18" s="38">
        <f>V18/E18</f>
        <v>612.5</v>
      </c>
      <c r="BD18" s="38"/>
      <c r="BE18" s="38">
        <f>X18/E18</f>
        <v>0</v>
      </c>
      <c r="BF18" s="38">
        <f>Y18/E18</f>
        <v>2.7450000000000001</v>
      </c>
      <c r="BG18" s="38">
        <f>AB18/E18</f>
        <v>171.25</v>
      </c>
      <c r="BH18" s="55">
        <f>Z18/E18</f>
        <v>0</v>
      </c>
      <c r="BI18" s="38"/>
      <c r="BJ18" s="38">
        <f t="shared" si="6"/>
        <v>2502.9949999999999</v>
      </c>
    </row>
    <row r="19" spans="1:62" ht="18.75">
      <c r="A19" s="36">
        <v>45719</v>
      </c>
      <c r="B19" s="37" t="s">
        <v>54</v>
      </c>
      <c r="C19" s="38"/>
      <c r="D19" s="39" t="s">
        <v>31</v>
      </c>
      <c r="E19" s="66">
        <v>5</v>
      </c>
      <c r="F19" s="41"/>
      <c r="G19" s="37" t="s">
        <v>32</v>
      </c>
      <c r="H19" s="42">
        <v>5000</v>
      </c>
      <c r="I19" s="38">
        <f t="shared" si="0"/>
        <v>3003.4838000000004</v>
      </c>
      <c r="J19" s="43">
        <f t="shared" si="7"/>
        <v>2659.8753300000003</v>
      </c>
      <c r="K19" s="43">
        <f t="shared" si="8"/>
        <v>1996.5161999999996</v>
      </c>
      <c r="L19" s="43">
        <f t="shared" si="9"/>
        <v>2340.1246699999997</v>
      </c>
      <c r="M19" s="43">
        <f t="shared" si="1"/>
        <v>0.53197506600000011</v>
      </c>
      <c r="N19" s="43">
        <f t="shared" si="10"/>
        <v>0.60069676000000005</v>
      </c>
      <c r="O19" s="44">
        <f t="shared" si="2"/>
        <v>0.12918217110574112</v>
      </c>
      <c r="P19" s="45">
        <v>303.5</v>
      </c>
      <c r="Q19" s="45">
        <v>503.5</v>
      </c>
      <c r="R19" s="62">
        <v>0</v>
      </c>
      <c r="S19" s="62">
        <v>0</v>
      </c>
      <c r="T19" s="45">
        <v>2138</v>
      </c>
      <c r="U19" s="45">
        <v>3366</v>
      </c>
      <c r="V19" s="45">
        <v>5261.5</v>
      </c>
      <c r="W19" s="45">
        <v>0</v>
      </c>
      <c r="X19" s="45">
        <v>4.1950000000000003</v>
      </c>
      <c r="Y19" s="45">
        <v>0</v>
      </c>
      <c r="Z19" s="45">
        <v>0</v>
      </c>
      <c r="AA19" s="45">
        <v>0</v>
      </c>
      <c r="AB19" s="45">
        <v>921</v>
      </c>
      <c r="AC19" s="46">
        <f>IFERROR(AD19/E19,0)</f>
        <v>2659.8753300000003</v>
      </c>
      <c r="AD19" s="47">
        <f t="shared" si="3"/>
        <v>13299.376650000002</v>
      </c>
      <c r="AE19" s="48">
        <v>154</v>
      </c>
      <c r="AF19" s="49"/>
      <c r="AG19" s="50">
        <v>66</v>
      </c>
      <c r="AH19" s="51"/>
      <c r="AI19" s="50">
        <v>480</v>
      </c>
      <c r="AJ19" s="50">
        <v>700</v>
      </c>
      <c r="AK19" s="50">
        <f>450+450</f>
        <v>900</v>
      </c>
      <c r="AL19" s="46"/>
      <c r="AM19" s="38"/>
      <c r="AN19" s="52"/>
      <c r="AO19" s="50">
        <v>1.54</v>
      </c>
      <c r="AP19" s="46"/>
      <c r="AQ19" s="52">
        <v>154</v>
      </c>
      <c r="AR19" s="53">
        <f t="shared" si="4"/>
        <v>3003.4838000000004</v>
      </c>
      <c r="AS19" s="54">
        <f>AR19*E19</f>
        <v>15017.419000000002</v>
      </c>
      <c r="AT19" s="43">
        <f t="shared" si="5"/>
        <v>343.60847000000012</v>
      </c>
      <c r="AU19" s="41">
        <f>IFERROR(AT19*E19,0)</f>
        <v>1718.0423500000006</v>
      </c>
      <c r="AV19" s="38" t="str">
        <f>D19</f>
        <v>M10</v>
      </c>
      <c r="AW19" s="38">
        <f>P19/E19</f>
        <v>60.7</v>
      </c>
      <c r="AX19" s="38">
        <f>Q19/E19</f>
        <v>100.7</v>
      </c>
      <c r="AY19" s="38">
        <f>R19/E19</f>
        <v>0</v>
      </c>
      <c r="AZ19" s="38">
        <f>S19/E19</f>
        <v>0</v>
      </c>
      <c r="BA19" s="38">
        <f>T19/E19</f>
        <v>427.6</v>
      </c>
      <c r="BB19" s="38">
        <f>U19/E19</f>
        <v>673.2</v>
      </c>
      <c r="BC19" s="38">
        <f>V19/E19</f>
        <v>1052.3</v>
      </c>
      <c r="BD19" s="38"/>
      <c r="BE19" s="38">
        <f>X19/E19</f>
        <v>0.83900000000000008</v>
      </c>
      <c r="BF19" s="38">
        <f>Y19/E19</f>
        <v>0</v>
      </c>
      <c r="BG19" s="38">
        <f>AB19/E19</f>
        <v>184.2</v>
      </c>
      <c r="BH19" s="55">
        <f>Z19/E19</f>
        <v>0</v>
      </c>
      <c r="BI19" s="38"/>
      <c r="BJ19" s="38">
        <f t="shared" si="6"/>
        <v>2499.5389999999998</v>
      </c>
    </row>
    <row r="20" spans="1:62" ht="18.75">
      <c r="A20" s="36">
        <v>45719</v>
      </c>
      <c r="B20" s="37" t="s">
        <v>47</v>
      </c>
      <c r="C20" s="38"/>
      <c r="D20" s="39" t="s">
        <v>31</v>
      </c>
      <c r="E20" s="66">
        <v>5</v>
      </c>
      <c r="F20" s="41"/>
      <c r="G20" s="37" t="s">
        <v>32</v>
      </c>
      <c r="H20" s="42">
        <v>4900</v>
      </c>
      <c r="I20" s="38">
        <f t="shared" si="0"/>
        <v>3053.1180000000004</v>
      </c>
      <c r="J20" s="43">
        <f t="shared" si="7"/>
        <v>2659.8753300000003</v>
      </c>
      <c r="K20" s="43">
        <f t="shared" si="8"/>
        <v>1846.8819999999996</v>
      </c>
      <c r="L20" s="43">
        <f t="shared" si="9"/>
        <v>2240.1246699999997</v>
      </c>
      <c r="M20" s="43">
        <f t="shared" si="1"/>
        <v>0.54283170000000003</v>
      </c>
      <c r="N20" s="43">
        <f t="shared" si="10"/>
        <v>0.62308530612244906</v>
      </c>
      <c r="O20" s="44">
        <f t="shared" si="2"/>
        <v>0.14784251937101137</v>
      </c>
      <c r="P20" s="45">
        <v>303.5</v>
      </c>
      <c r="Q20" s="45">
        <v>503.5</v>
      </c>
      <c r="R20" s="62">
        <v>0</v>
      </c>
      <c r="S20" s="62">
        <v>0</v>
      </c>
      <c r="T20" s="45">
        <v>2138</v>
      </c>
      <c r="U20" s="45">
        <v>3366</v>
      </c>
      <c r="V20" s="45">
        <v>5261.5</v>
      </c>
      <c r="W20" s="45">
        <v>0</v>
      </c>
      <c r="X20" s="45">
        <v>4.1950000000000003</v>
      </c>
      <c r="Y20" s="45">
        <v>0</v>
      </c>
      <c r="Z20" s="45">
        <v>0</v>
      </c>
      <c r="AA20" s="45">
        <v>0</v>
      </c>
      <c r="AB20" s="45">
        <v>921</v>
      </c>
      <c r="AC20" s="46">
        <f>IFERROR(AD20/E20,0)</f>
        <v>2659.8753300000003</v>
      </c>
      <c r="AD20" s="47">
        <f t="shared" si="3"/>
        <v>13299.376650000002</v>
      </c>
      <c r="AE20" s="48">
        <v>154</v>
      </c>
      <c r="AF20" s="49"/>
      <c r="AG20" s="50">
        <v>66</v>
      </c>
      <c r="AH20" s="51"/>
      <c r="AI20" s="50">
        <v>480</v>
      </c>
      <c r="AJ20" s="50">
        <v>700</v>
      </c>
      <c r="AK20" s="50">
        <f>450+450</f>
        <v>900</v>
      </c>
      <c r="AL20" s="46"/>
      <c r="AM20" s="38"/>
      <c r="AN20" s="52">
        <v>1.54</v>
      </c>
      <c r="AO20" s="50"/>
      <c r="AP20" s="46"/>
      <c r="AQ20" s="52">
        <v>154</v>
      </c>
      <c r="AR20" s="53">
        <f t="shared" si="4"/>
        <v>3053.1180000000004</v>
      </c>
      <c r="AS20" s="54">
        <f>AR20*E20</f>
        <v>15265.590000000002</v>
      </c>
      <c r="AT20" s="43">
        <f t="shared" si="5"/>
        <v>393.24267000000009</v>
      </c>
      <c r="AU20" s="41">
        <f>IFERROR(AT20*E20,0)</f>
        <v>1966.2133500000004</v>
      </c>
      <c r="AV20" s="38" t="str">
        <f>D20</f>
        <v>M10</v>
      </c>
      <c r="AW20" s="38">
        <f>P20/E20</f>
        <v>60.7</v>
      </c>
      <c r="AX20" s="38">
        <f>Q20/E20</f>
        <v>100.7</v>
      </c>
      <c r="AY20" s="38">
        <f>R20/E20</f>
        <v>0</v>
      </c>
      <c r="AZ20" s="38">
        <f>S20/E20</f>
        <v>0</v>
      </c>
      <c r="BA20" s="38">
        <f>T20/E20</f>
        <v>427.6</v>
      </c>
      <c r="BB20" s="38">
        <f>U20/E20</f>
        <v>673.2</v>
      </c>
      <c r="BC20" s="38">
        <f>V20/E20</f>
        <v>1052.3</v>
      </c>
      <c r="BD20" s="38"/>
      <c r="BE20" s="38">
        <f>X20/E20</f>
        <v>0.83900000000000008</v>
      </c>
      <c r="BF20" s="38">
        <f>Y20/E20</f>
        <v>0</v>
      </c>
      <c r="BG20" s="38">
        <f>AB20/E20</f>
        <v>184.2</v>
      </c>
      <c r="BH20" s="55">
        <f>Z20/E20</f>
        <v>0</v>
      </c>
      <c r="BI20" s="38"/>
      <c r="BJ20" s="38">
        <f t="shared" si="6"/>
        <v>2499.5389999999998</v>
      </c>
    </row>
    <row r="21" spans="1:62" ht="18.75">
      <c r="A21" s="36">
        <v>45719</v>
      </c>
      <c r="B21" s="37" t="s">
        <v>55</v>
      </c>
      <c r="C21" s="38"/>
      <c r="D21" s="39" t="s">
        <v>40</v>
      </c>
      <c r="E21" s="66">
        <v>13</v>
      </c>
      <c r="F21" s="41"/>
      <c r="G21" s="37" t="s">
        <v>41</v>
      </c>
      <c r="H21" s="42">
        <v>5900</v>
      </c>
      <c r="I21" s="38">
        <f t="shared" si="0"/>
        <v>3452.0828000000001</v>
      </c>
      <c r="J21" s="43">
        <f t="shared" si="7"/>
        <v>3322.8509049999998</v>
      </c>
      <c r="K21" s="43">
        <f t="shared" si="8"/>
        <v>2447.9171999999999</v>
      </c>
      <c r="L21" s="43">
        <f t="shared" si="9"/>
        <v>2577.1490950000002</v>
      </c>
      <c r="M21" s="43">
        <f t="shared" si="1"/>
        <v>0.56319506864406776</v>
      </c>
      <c r="N21" s="43">
        <f t="shared" si="10"/>
        <v>0.58509877966101698</v>
      </c>
      <c r="O21" s="44">
        <f t="shared" si="2"/>
        <v>3.8891872881067581E-2</v>
      </c>
      <c r="P21" s="45">
        <v>2594.15</v>
      </c>
      <c r="Q21" s="45">
        <v>1570.3999999999999</v>
      </c>
      <c r="R21" s="62">
        <v>0</v>
      </c>
      <c r="S21" s="62">
        <v>0</v>
      </c>
      <c r="T21" s="45">
        <v>6343.3499999999995</v>
      </c>
      <c r="U21" s="45">
        <v>9464.65</v>
      </c>
      <c r="V21" s="45">
        <v>10077.6</v>
      </c>
      <c r="W21" s="45">
        <v>0</v>
      </c>
      <c r="X21" s="45">
        <v>17.3095</v>
      </c>
      <c r="Y21" s="45">
        <v>0</v>
      </c>
      <c r="Z21" s="45">
        <v>0</v>
      </c>
      <c r="AA21" s="45">
        <v>0</v>
      </c>
      <c r="AB21" s="45">
        <v>2427.75</v>
      </c>
      <c r="AC21" s="46">
        <f>IFERROR(AD21/E21,0)</f>
        <v>3322.8509049999998</v>
      </c>
      <c r="AD21" s="47">
        <f t="shared" si="3"/>
        <v>43197.061764999999</v>
      </c>
      <c r="AE21" s="48">
        <v>224</v>
      </c>
      <c r="AF21" s="49"/>
      <c r="AG21" s="50">
        <v>96</v>
      </c>
      <c r="AH21" s="51"/>
      <c r="AI21" s="50">
        <v>495</v>
      </c>
      <c r="AJ21" s="50">
        <v>740</v>
      </c>
      <c r="AK21" s="50">
        <v>800</v>
      </c>
      <c r="AL21" s="46"/>
      <c r="AM21" s="38"/>
      <c r="AN21" s="52"/>
      <c r="AO21" s="50">
        <v>2.2400000000000002</v>
      </c>
      <c r="AP21" s="46"/>
      <c r="AQ21" s="52">
        <v>155</v>
      </c>
      <c r="AR21" s="53">
        <f t="shared" si="4"/>
        <v>3452.0828000000001</v>
      </c>
      <c r="AS21" s="54">
        <f>AR21*E21</f>
        <v>44877.076400000005</v>
      </c>
      <c r="AT21" s="43">
        <f t="shared" si="5"/>
        <v>129.23189500000035</v>
      </c>
      <c r="AU21" s="41">
        <f>IFERROR(AT21*E21,0)</f>
        <v>1680.0146350000045</v>
      </c>
      <c r="AV21" s="38" t="str">
        <f>D21</f>
        <v>M25</v>
      </c>
      <c r="AW21" s="38">
        <f>P21/E21</f>
        <v>199.55</v>
      </c>
      <c r="AX21" s="38">
        <f>Q21/E21</f>
        <v>120.79999999999998</v>
      </c>
      <c r="AY21" s="38">
        <f>R21/E21</f>
        <v>0</v>
      </c>
      <c r="AZ21" s="38">
        <f>S21/E21</f>
        <v>0</v>
      </c>
      <c r="BA21" s="38">
        <f>T21/E21</f>
        <v>487.94999999999993</v>
      </c>
      <c r="BB21" s="38">
        <f>U21/E21</f>
        <v>728.05</v>
      </c>
      <c r="BC21" s="38">
        <f>V21/E21</f>
        <v>775.2</v>
      </c>
      <c r="BD21" s="38"/>
      <c r="BE21" s="38">
        <f>X21/E21</f>
        <v>1.3314999999999999</v>
      </c>
      <c r="BF21" s="38">
        <f>Y21/E21</f>
        <v>0</v>
      </c>
      <c r="BG21" s="38">
        <f>AB21/E21</f>
        <v>186.75</v>
      </c>
      <c r="BH21" s="55">
        <f>Z21/E21</f>
        <v>0</v>
      </c>
      <c r="BI21" s="38"/>
      <c r="BJ21" s="38">
        <f t="shared" si="6"/>
        <v>2499.6315</v>
      </c>
    </row>
    <row r="22" spans="1:62" ht="18.75">
      <c r="A22" s="36">
        <v>45719</v>
      </c>
      <c r="B22" s="37" t="s">
        <v>55</v>
      </c>
      <c r="C22" s="38"/>
      <c r="D22" s="39" t="s">
        <v>40</v>
      </c>
      <c r="E22" s="66">
        <v>15.5</v>
      </c>
      <c r="F22" s="41"/>
      <c r="G22" s="37" t="s">
        <v>41</v>
      </c>
      <c r="H22" s="42">
        <v>5900</v>
      </c>
      <c r="I22" s="38">
        <f t="shared" si="0"/>
        <v>3452.0828000000001</v>
      </c>
      <c r="J22" s="43">
        <f t="shared" si="7"/>
        <v>3184.0506027397264</v>
      </c>
      <c r="K22" s="43">
        <f t="shared" si="8"/>
        <v>2447.9171999999999</v>
      </c>
      <c r="L22" s="43">
        <f t="shared" si="9"/>
        <v>2715.9493972602736</v>
      </c>
      <c r="M22" s="43">
        <f t="shared" si="1"/>
        <v>0.53966959368469936</v>
      </c>
      <c r="N22" s="43">
        <f t="shared" si="10"/>
        <v>0.58509877966101698</v>
      </c>
      <c r="O22" s="44">
        <f t="shared" si="2"/>
        <v>8.4179628624508923E-2</v>
      </c>
      <c r="P22" s="45">
        <v>2179.3424657534247</v>
      </c>
      <c r="Q22" s="45">
        <v>2649.8630136986303</v>
      </c>
      <c r="R22" s="62">
        <v>0</v>
      </c>
      <c r="S22" s="62">
        <v>0</v>
      </c>
      <c r="T22" s="45">
        <v>7414.5205479452052</v>
      </c>
      <c r="U22" s="45">
        <v>11165.520547945207</v>
      </c>
      <c r="V22" s="45">
        <v>12685.369863013699</v>
      </c>
      <c r="W22" s="45">
        <v>0</v>
      </c>
      <c r="X22" s="45">
        <v>18.684931506849313</v>
      </c>
      <c r="Y22" s="45">
        <v>0</v>
      </c>
      <c r="Z22" s="45">
        <v>0</v>
      </c>
      <c r="AA22" s="45">
        <v>0</v>
      </c>
      <c r="AB22" s="45">
        <v>2683.4109589041095</v>
      </c>
      <c r="AC22" s="46">
        <f>IFERROR(AD22/E22,0)</f>
        <v>3184.0506027397264</v>
      </c>
      <c r="AD22" s="47">
        <f t="shared" si="3"/>
        <v>49352.784342465762</v>
      </c>
      <c r="AE22" s="48">
        <v>224</v>
      </c>
      <c r="AF22" s="49"/>
      <c r="AG22" s="50">
        <v>96</v>
      </c>
      <c r="AH22" s="51"/>
      <c r="AI22" s="50">
        <v>495</v>
      </c>
      <c r="AJ22" s="50">
        <v>740</v>
      </c>
      <c r="AK22" s="50">
        <v>800</v>
      </c>
      <c r="AL22" s="46"/>
      <c r="AM22" s="38"/>
      <c r="AN22" s="52"/>
      <c r="AO22" s="50">
        <v>2.2400000000000002</v>
      </c>
      <c r="AP22" s="46"/>
      <c r="AQ22" s="52">
        <v>155</v>
      </c>
      <c r="AR22" s="53">
        <f t="shared" si="4"/>
        <v>3452.0828000000001</v>
      </c>
      <c r="AS22" s="54">
        <f>AR22*E22</f>
        <v>53507.2834</v>
      </c>
      <c r="AT22" s="43">
        <f t="shared" si="5"/>
        <v>268.03219726027373</v>
      </c>
      <c r="AU22" s="41">
        <f>IFERROR(AT22*E22,0)</f>
        <v>4154.4990575342426</v>
      </c>
      <c r="AV22" s="38" t="str">
        <f>D22</f>
        <v>M25</v>
      </c>
      <c r="AW22" s="38">
        <f>P22/E22</f>
        <v>140.60273972602741</v>
      </c>
      <c r="AX22" s="38">
        <f>Q22/E22</f>
        <v>170.95890410958904</v>
      </c>
      <c r="AY22" s="38">
        <f>R22/E22</f>
        <v>0</v>
      </c>
      <c r="AZ22" s="38">
        <f>S22/E22</f>
        <v>0</v>
      </c>
      <c r="BA22" s="38">
        <f>T22/E22</f>
        <v>478.35616438356163</v>
      </c>
      <c r="BB22" s="38">
        <f>U22/E22</f>
        <v>720.35616438356169</v>
      </c>
      <c r="BC22" s="38">
        <f>V22/E22</f>
        <v>818.41095890410963</v>
      </c>
      <c r="BD22" s="38"/>
      <c r="BE22" s="38">
        <f>X22/E22</f>
        <v>1.2054794520547945</v>
      </c>
      <c r="BF22" s="38">
        <f>Y22/E22</f>
        <v>0</v>
      </c>
      <c r="BG22" s="38">
        <f>AB22/E22</f>
        <v>173.12328767123287</v>
      </c>
      <c r="BH22" s="55">
        <f>Z22/E22</f>
        <v>0</v>
      </c>
      <c r="BI22" s="38"/>
      <c r="BJ22" s="38">
        <f t="shared" si="6"/>
        <v>2503.0136986301372</v>
      </c>
    </row>
    <row r="23" spans="1:62" ht="18.75">
      <c r="A23" s="36">
        <v>45719</v>
      </c>
      <c r="B23" s="37" t="s">
        <v>56</v>
      </c>
      <c r="C23" s="38"/>
      <c r="D23" s="39" t="s">
        <v>40</v>
      </c>
      <c r="E23" s="66">
        <v>7</v>
      </c>
      <c r="F23" s="41"/>
      <c r="G23" s="37" t="s">
        <v>41</v>
      </c>
      <c r="H23" s="42">
        <v>5805.08</v>
      </c>
      <c r="I23" s="38">
        <f t="shared" si="0"/>
        <v>3452.0828000000001</v>
      </c>
      <c r="J23" s="43">
        <f t="shared" si="7"/>
        <v>3322.8509050000002</v>
      </c>
      <c r="K23" s="43">
        <f t="shared" si="8"/>
        <v>2352.9971999999998</v>
      </c>
      <c r="L23" s="43">
        <f t="shared" si="9"/>
        <v>2482.2290949999997</v>
      </c>
      <c r="M23" s="43">
        <f t="shared" si="1"/>
        <v>0.57240398151274408</v>
      </c>
      <c r="N23" s="43">
        <f t="shared" si="10"/>
        <v>0.59466584439835457</v>
      </c>
      <c r="O23" s="44">
        <f t="shared" si="2"/>
        <v>3.8891872881067394E-2</v>
      </c>
      <c r="P23" s="45">
        <v>1396.8500000000001</v>
      </c>
      <c r="Q23" s="45">
        <v>845.6</v>
      </c>
      <c r="R23" s="62">
        <v>0</v>
      </c>
      <c r="S23" s="62">
        <v>0</v>
      </c>
      <c r="T23" s="45">
        <v>3415.65</v>
      </c>
      <c r="U23" s="45">
        <v>5096.3499999999995</v>
      </c>
      <c r="V23" s="45">
        <v>5426.4000000000005</v>
      </c>
      <c r="W23" s="45">
        <v>0</v>
      </c>
      <c r="X23" s="45">
        <v>9.3204999999999991</v>
      </c>
      <c r="Y23" s="45">
        <v>0</v>
      </c>
      <c r="Z23" s="45">
        <v>0</v>
      </c>
      <c r="AA23" s="45">
        <v>0</v>
      </c>
      <c r="AB23" s="45">
        <v>1307.25</v>
      </c>
      <c r="AC23" s="46">
        <f>IFERROR(AD23/E23,0)</f>
        <v>3322.8509050000002</v>
      </c>
      <c r="AD23" s="47">
        <f t="shared" si="3"/>
        <v>23259.956335000003</v>
      </c>
      <c r="AE23" s="48">
        <v>224</v>
      </c>
      <c r="AF23" s="49"/>
      <c r="AG23" s="50">
        <v>96</v>
      </c>
      <c r="AH23" s="51"/>
      <c r="AI23" s="50">
        <v>495</v>
      </c>
      <c r="AJ23" s="50">
        <v>740</v>
      </c>
      <c r="AK23" s="50">
        <v>800</v>
      </c>
      <c r="AL23" s="46"/>
      <c r="AM23" s="38"/>
      <c r="AN23" s="52"/>
      <c r="AO23" s="50">
        <v>2.2400000000000002</v>
      </c>
      <c r="AP23" s="46"/>
      <c r="AQ23" s="52">
        <v>155</v>
      </c>
      <c r="AR23" s="53">
        <f t="shared" si="4"/>
        <v>3452.0828000000001</v>
      </c>
      <c r="AS23" s="54">
        <f>AR23*E23</f>
        <v>24164.579600000001</v>
      </c>
      <c r="AT23" s="43">
        <f t="shared" si="5"/>
        <v>129.23189499999989</v>
      </c>
      <c r="AU23" s="41">
        <f>IFERROR(AT23*E23,0)</f>
        <v>904.62326499999926</v>
      </c>
      <c r="AV23" s="38" t="str">
        <f>D23</f>
        <v>M25</v>
      </c>
      <c r="AW23" s="38">
        <f>P23/E23</f>
        <v>199.55</v>
      </c>
      <c r="AX23" s="38">
        <f>Q23/E23</f>
        <v>120.8</v>
      </c>
      <c r="AY23" s="38">
        <f>R23/E23</f>
        <v>0</v>
      </c>
      <c r="AZ23" s="38">
        <f>S23/E23</f>
        <v>0</v>
      </c>
      <c r="BA23" s="38">
        <f>T23/E23</f>
        <v>487.95</v>
      </c>
      <c r="BB23" s="38">
        <f>U23/E23</f>
        <v>728.05</v>
      </c>
      <c r="BC23" s="38">
        <f>V23/E23</f>
        <v>775.2</v>
      </c>
      <c r="BD23" s="38"/>
      <c r="BE23" s="38">
        <f>X23/E23</f>
        <v>1.3314999999999999</v>
      </c>
      <c r="BF23" s="38">
        <f>Y23/E23</f>
        <v>0</v>
      </c>
      <c r="BG23" s="38">
        <f>AB23/E23</f>
        <v>186.75</v>
      </c>
      <c r="BH23" s="55">
        <f>Z23/E23</f>
        <v>0</v>
      </c>
      <c r="BI23" s="38"/>
      <c r="BJ23" s="38">
        <f t="shared" si="6"/>
        <v>2499.6315</v>
      </c>
    </row>
    <row r="24" spans="1:62" ht="18.75">
      <c r="A24" s="36">
        <v>45719</v>
      </c>
      <c r="B24" s="37" t="s">
        <v>56</v>
      </c>
      <c r="C24" s="38"/>
      <c r="D24" s="39" t="s">
        <v>40</v>
      </c>
      <c r="E24" s="66">
        <v>21</v>
      </c>
      <c r="F24" s="41"/>
      <c r="G24" s="37" t="s">
        <v>41</v>
      </c>
      <c r="H24" s="42">
        <v>5805.08</v>
      </c>
      <c r="I24" s="38">
        <f t="shared" si="0"/>
        <v>3452.0828000000001</v>
      </c>
      <c r="J24" s="43">
        <f t="shared" si="7"/>
        <v>3184.0506027397269</v>
      </c>
      <c r="K24" s="43">
        <f t="shared" si="8"/>
        <v>2352.9971999999998</v>
      </c>
      <c r="L24" s="43">
        <f t="shared" si="9"/>
        <v>2621.0293972602731</v>
      </c>
      <c r="M24" s="43">
        <f t="shared" si="1"/>
        <v>0.54849383690487075</v>
      </c>
      <c r="N24" s="43">
        <f t="shared" si="10"/>
        <v>0.59466584439835457</v>
      </c>
      <c r="O24" s="44">
        <f t="shared" si="2"/>
        <v>8.4179628624508632E-2</v>
      </c>
      <c r="P24" s="45">
        <v>2952.6575342465758</v>
      </c>
      <c r="Q24" s="45">
        <v>3590.1369863013697</v>
      </c>
      <c r="R24" s="62">
        <v>0</v>
      </c>
      <c r="S24" s="62">
        <v>0</v>
      </c>
      <c r="T24" s="45">
        <v>10045.479452054795</v>
      </c>
      <c r="U24" s="45">
        <v>15127.479452054795</v>
      </c>
      <c r="V24" s="45">
        <v>17186.630136986303</v>
      </c>
      <c r="W24" s="45">
        <v>0</v>
      </c>
      <c r="X24" s="45">
        <v>25.315068493150683</v>
      </c>
      <c r="Y24" s="45">
        <v>0</v>
      </c>
      <c r="Z24" s="45">
        <v>0</v>
      </c>
      <c r="AA24" s="45">
        <v>0</v>
      </c>
      <c r="AB24" s="45">
        <v>3635.5890410958905</v>
      </c>
      <c r="AC24" s="46">
        <f>IFERROR(AD24/E24,0)</f>
        <v>3184.0506027397269</v>
      </c>
      <c r="AD24" s="47">
        <f t="shared" si="3"/>
        <v>66865.062657534261</v>
      </c>
      <c r="AE24" s="48">
        <v>224</v>
      </c>
      <c r="AF24" s="49"/>
      <c r="AG24" s="50">
        <v>96</v>
      </c>
      <c r="AH24" s="51"/>
      <c r="AI24" s="50">
        <v>495</v>
      </c>
      <c r="AJ24" s="50">
        <v>740</v>
      </c>
      <c r="AK24" s="50">
        <v>800</v>
      </c>
      <c r="AL24" s="46"/>
      <c r="AM24" s="38"/>
      <c r="AN24" s="52"/>
      <c r="AO24" s="50">
        <v>2.2400000000000002</v>
      </c>
      <c r="AP24" s="46"/>
      <c r="AQ24" s="52">
        <v>155</v>
      </c>
      <c r="AR24" s="53">
        <f t="shared" si="4"/>
        <v>3452.0828000000001</v>
      </c>
      <c r="AS24" s="54">
        <f>AR24*E24</f>
        <v>72493.738800000006</v>
      </c>
      <c r="AT24" s="43">
        <f t="shared" si="5"/>
        <v>268.03219726027328</v>
      </c>
      <c r="AU24" s="41">
        <f>IFERROR(AT24*E24,0)</f>
        <v>5628.6761424657388</v>
      </c>
      <c r="AV24" s="38" t="str">
        <f>D24</f>
        <v>M25</v>
      </c>
      <c r="AW24" s="38">
        <f>P24/E24</f>
        <v>140.60273972602741</v>
      </c>
      <c r="AX24" s="38">
        <f>Q24/E24</f>
        <v>170.95890410958904</v>
      </c>
      <c r="AY24" s="38">
        <f>R24/E24</f>
        <v>0</v>
      </c>
      <c r="AZ24" s="38">
        <f>S24/E24</f>
        <v>0</v>
      </c>
      <c r="BA24" s="38">
        <f>T24/E24</f>
        <v>478.35616438356163</v>
      </c>
      <c r="BB24" s="38">
        <f>U24/E24</f>
        <v>720.35616438356169</v>
      </c>
      <c r="BC24" s="38">
        <f>V24/E24</f>
        <v>818.41095890410963</v>
      </c>
      <c r="BD24" s="38"/>
      <c r="BE24" s="38">
        <f>X24/E24</f>
        <v>1.2054794520547945</v>
      </c>
      <c r="BF24" s="38">
        <f>Y24/E24</f>
        <v>0</v>
      </c>
      <c r="BG24" s="38">
        <f>AB24/E24</f>
        <v>173.12328767123287</v>
      </c>
      <c r="BH24" s="55">
        <f>Z24/E24</f>
        <v>0</v>
      </c>
      <c r="BI24" s="38"/>
      <c r="BJ24" s="38">
        <f t="shared" si="6"/>
        <v>2503.0136986301372</v>
      </c>
    </row>
    <row r="25" spans="1:62" ht="18.75">
      <c r="A25" s="36">
        <v>45719</v>
      </c>
      <c r="B25" s="37" t="s">
        <v>57</v>
      </c>
      <c r="C25" s="38"/>
      <c r="D25" s="39" t="s">
        <v>43</v>
      </c>
      <c r="E25" s="66">
        <v>18</v>
      </c>
      <c r="F25" s="41"/>
      <c r="G25" s="37" t="s">
        <v>58</v>
      </c>
      <c r="H25" s="42">
        <v>5700</v>
      </c>
      <c r="I25" s="38">
        <f t="shared" si="0"/>
        <v>3720.4300000000003</v>
      </c>
      <c r="J25" s="43">
        <f t="shared" si="7"/>
        <v>3489.6119111111111</v>
      </c>
      <c r="K25" s="43">
        <f t="shared" si="8"/>
        <v>1979.5699999999997</v>
      </c>
      <c r="L25" s="43">
        <f t="shared" si="9"/>
        <v>2210.3880888888889</v>
      </c>
      <c r="M25" s="43">
        <f t="shared" si="1"/>
        <v>0.61221261598440546</v>
      </c>
      <c r="N25" s="43">
        <f t="shared" si="10"/>
        <v>0.65270701754385974</v>
      </c>
      <c r="O25" s="44">
        <f t="shared" si="2"/>
        <v>6.6144343488154719E-2</v>
      </c>
      <c r="P25" s="45">
        <v>4110</v>
      </c>
      <c r="Q25" s="45">
        <v>2352</v>
      </c>
      <c r="R25" s="62">
        <v>0</v>
      </c>
      <c r="S25" s="62">
        <v>0</v>
      </c>
      <c r="T25" s="45">
        <v>8279</v>
      </c>
      <c r="U25" s="45">
        <v>12179</v>
      </c>
      <c r="V25" s="45">
        <f>7368+7511</f>
        <v>14879</v>
      </c>
      <c r="W25" s="45">
        <v>0</v>
      </c>
      <c r="X25" s="45">
        <v>28.82</v>
      </c>
      <c r="Y25" s="45">
        <v>0</v>
      </c>
      <c r="Z25" s="45">
        <v>0</v>
      </c>
      <c r="AA25" s="45">
        <v>0</v>
      </c>
      <c r="AB25" s="45">
        <v>3217</v>
      </c>
      <c r="AC25" s="46">
        <f>IFERROR(AD25/E25,0)</f>
        <v>3489.6119111111111</v>
      </c>
      <c r="AD25" s="47">
        <f t="shared" si="3"/>
        <v>62813.0144</v>
      </c>
      <c r="AE25" s="48">
        <v>270</v>
      </c>
      <c r="AF25" s="49"/>
      <c r="AG25" s="50">
        <v>110</v>
      </c>
      <c r="AH25" s="51"/>
      <c r="AI25" s="50">
        <v>515</v>
      </c>
      <c r="AJ25" s="50">
        <v>750</v>
      </c>
      <c r="AK25" s="50">
        <f>300+350</f>
        <v>650</v>
      </c>
      <c r="AL25" s="46"/>
      <c r="AM25" s="38"/>
      <c r="AN25" s="52">
        <v>2.54</v>
      </c>
      <c r="AO25" s="50"/>
      <c r="AP25" s="46"/>
      <c r="AQ25" s="52">
        <v>150</v>
      </c>
      <c r="AR25" s="53">
        <f t="shared" si="4"/>
        <v>3720.4300000000003</v>
      </c>
      <c r="AS25" s="54">
        <f>AR25*E25</f>
        <v>66967.740000000005</v>
      </c>
      <c r="AT25" s="43">
        <f t="shared" si="5"/>
        <v>230.81808888888918</v>
      </c>
      <c r="AU25" s="41">
        <f>IFERROR(AT25*E25,0)</f>
        <v>4154.7256000000052</v>
      </c>
      <c r="AV25" s="38" t="str">
        <f>D25</f>
        <v>M30</v>
      </c>
      <c r="AW25" s="38">
        <f>P25/E25</f>
        <v>228.33333333333334</v>
      </c>
      <c r="AX25" s="38">
        <f>Q25/E25</f>
        <v>130.66666666666666</v>
      </c>
      <c r="AY25" s="38">
        <f>R25/E25</f>
        <v>0</v>
      </c>
      <c r="AZ25" s="38">
        <f>S25/E25</f>
        <v>0</v>
      </c>
      <c r="BA25" s="38">
        <f>T25/E25</f>
        <v>459.94444444444446</v>
      </c>
      <c r="BB25" s="38">
        <f>U25/E25</f>
        <v>676.61111111111109</v>
      </c>
      <c r="BC25" s="38">
        <f>V25/E25</f>
        <v>826.61111111111109</v>
      </c>
      <c r="BD25" s="38"/>
      <c r="BE25" s="38">
        <f>X25/E25</f>
        <v>1.6011111111111112</v>
      </c>
      <c r="BF25" s="38">
        <f>Y25/E25</f>
        <v>0</v>
      </c>
      <c r="BG25" s="38">
        <f>AB25/E25</f>
        <v>178.72222222222223</v>
      </c>
      <c r="BH25" s="55">
        <f>Z25/E25</f>
        <v>0</v>
      </c>
      <c r="BI25" s="38"/>
      <c r="BJ25" s="38">
        <f t="shared" si="6"/>
        <v>2502.4900000000002</v>
      </c>
    </row>
    <row r="26" spans="1:62" ht="18.75">
      <c r="A26" s="36">
        <v>45719</v>
      </c>
      <c r="B26" s="37" t="s">
        <v>36</v>
      </c>
      <c r="C26" s="38"/>
      <c r="D26" s="39" t="s">
        <v>43</v>
      </c>
      <c r="E26" s="66">
        <v>100.5</v>
      </c>
      <c r="F26" s="41"/>
      <c r="G26" s="37" t="s">
        <v>59</v>
      </c>
      <c r="H26" s="42">
        <v>5800</v>
      </c>
      <c r="I26" s="38">
        <f t="shared" si="0"/>
        <v>3707.0834</v>
      </c>
      <c r="J26" s="43">
        <f t="shared" si="7"/>
        <v>3399.0047293532343</v>
      </c>
      <c r="K26" s="43">
        <f t="shared" si="8"/>
        <v>2092.9166</v>
      </c>
      <c r="L26" s="43">
        <f t="shared" si="9"/>
        <v>2400.9952706467657</v>
      </c>
      <c r="M26" s="43">
        <f t="shared" si="1"/>
        <v>0.58603529816435074</v>
      </c>
      <c r="N26" s="43">
        <f t="shared" si="10"/>
        <v>0.63915231034482756</v>
      </c>
      <c r="O26" s="44">
        <f t="shared" si="2"/>
        <v>9.0637905851159856E-2</v>
      </c>
      <c r="P26" s="45">
        <f>9141+11947</f>
        <v>21088</v>
      </c>
      <c r="Q26" s="45">
        <v>13132</v>
      </c>
      <c r="R26" s="62"/>
      <c r="S26" s="62"/>
      <c r="T26" s="45">
        <v>48153</v>
      </c>
      <c r="U26" s="45">
        <v>72413</v>
      </c>
      <c r="V26" s="45">
        <f>39415+39115</f>
        <v>78530</v>
      </c>
      <c r="W26" s="45"/>
      <c r="X26" s="45">
        <v>140.38999999999999</v>
      </c>
      <c r="Y26" s="45"/>
      <c r="Z26" s="45"/>
      <c r="AA26" s="45"/>
      <c r="AB26" s="45">
        <v>17128</v>
      </c>
      <c r="AC26" s="46">
        <f>IFERROR(AD26/E26,0)</f>
        <v>3399.0047293532343</v>
      </c>
      <c r="AD26" s="47">
        <f t="shared" si="3"/>
        <v>341599.97530000005</v>
      </c>
      <c r="AE26" s="48">
        <v>288</v>
      </c>
      <c r="AF26" s="49"/>
      <c r="AG26" s="50">
        <v>72</v>
      </c>
      <c r="AH26" s="51"/>
      <c r="AI26" s="50">
        <v>495</v>
      </c>
      <c r="AJ26" s="50">
        <v>743</v>
      </c>
      <c r="AK26" s="50">
        <v>775</v>
      </c>
      <c r="AL26" s="46"/>
      <c r="AM26" s="38"/>
      <c r="AN26" s="52"/>
      <c r="AO26" s="50">
        <v>2.52</v>
      </c>
      <c r="AP26" s="46"/>
      <c r="AQ26" s="52">
        <v>160</v>
      </c>
      <c r="AR26" s="53">
        <f t="shared" si="4"/>
        <v>3707.0834</v>
      </c>
      <c r="AS26" s="54">
        <f>AR26*E26</f>
        <v>372561.88170000003</v>
      </c>
      <c r="AT26" s="43">
        <f t="shared" si="5"/>
        <v>308.07867064676566</v>
      </c>
      <c r="AU26" s="41">
        <f>IFERROR(AT26*E26,0)</f>
        <v>30961.906399999949</v>
      </c>
      <c r="AV26" s="38" t="str">
        <f>D26</f>
        <v>M30</v>
      </c>
      <c r="AW26" s="38">
        <f>P26/E26</f>
        <v>209.83084577114428</v>
      </c>
      <c r="AX26" s="38">
        <f>Q26/E26</f>
        <v>130.66666666666666</v>
      </c>
      <c r="AY26" s="38">
        <f>R26/E26</f>
        <v>0</v>
      </c>
      <c r="AZ26" s="38">
        <f>S26/E26</f>
        <v>0</v>
      </c>
      <c r="BA26" s="38">
        <f>T26/E26</f>
        <v>479.13432835820896</v>
      </c>
      <c r="BB26" s="38">
        <f>U26/E26</f>
        <v>720.5273631840796</v>
      </c>
      <c r="BC26" s="38">
        <f>V26/E26</f>
        <v>781.3930348258707</v>
      </c>
      <c r="BD26" s="38"/>
      <c r="BE26" s="38">
        <f>X26/E26</f>
        <v>1.396915422885572</v>
      </c>
      <c r="BF26" s="38">
        <f>Y26/E26</f>
        <v>0</v>
      </c>
      <c r="BG26" s="38">
        <f>AB26/E26</f>
        <v>170.4278606965174</v>
      </c>
      <c r="BH26" s="55">
        <f>Z26/E26</f>
        <v>0</v>
      </c>
      <c r="BI26" s="38"/>
      <c r="BJ26" s="38">
        <f t="shared" si="6"/>
        <v>2493.3770149253728</v>
      </c>
    </row>
    <row r="27" spans="1:62" ht="18.75">
      <c r="A27" s="36">
        <v>45720</v>
      </c>
      <c r="B27" s="37" t="s">
        <v>60</v>
      </c>
      <c r="C27" s="38"/>
      <c r="D27" s="39" t="s">
        <v>31</v>
      </c>
      <c r="E27" s="66">
        <v>5.5</v>
      </c>
      <c r="F27" s="41"/>
      <c r="G27" s="37" t="s">
        <v>32</v>
      </c>
      <c r="H27" s="42">
        <v>5200</v>
      </c>
      <c r="I27" s="38">
        <f t="shared" si="0"/>
        <v>3003.4838000000004</v>
      </c>
      <c r="J27" s="43">
        <f t="shared" si="7"/>
        <v>2682.87248</v>
      </c>
      <c r="K27" s="43">
        <f t="shared" si="8"/>
        <v>2196.5161999999996</v>
      </c>
      <c r="L27" s="43">
        <f t="shared" si="9"/>
        <v>2517.12752</v>
      </c>
      <c r="M27" s="43">
        <f t="shared" si="1"/>
        <v>0.51593701538461534</v>
      </c>
      <c r="N27" s="43">
        <f t="shared" si="10"/>
        <v>0.57759303846153853</v>
      </c>
      <c r="O27" s="44">
        <f t="shared" si="2"/>
        <v>0.11950300373575737</v>
      </c>
      <c r="P27" s="45">
        <v>334.88888888888886</v>
      </c>
      <c r="Q27" s="45">
        <v>541.44444444444446</v>
      </c>
      <c r="R27" s="62">
        <v>0</v>
      </c>
      <c r="S27" s="62">
        <v>0</v>
      </c>
      <c r="T27" s="45">
        <v>2347.4</v>
      </c>
      <c r="U27" s="45">
        <v>3883</v>
      </c>
      <c r="V27" s="45">
        <v>5781.6</v>
      </c>
      <c r="W27" s="45">
        <v>0</v>
      </c>
      <c r="X27" s="45">
        <v>4.7520000000000007</v>
      </c>
      <c r="Y27" s="45">
        <v>0</v>
      </c>
      <c r="Z27" s="45">
        <v>0</v>
      </c>
      <c r="AA27" s="45">
        <v>0</v>
      </c>
      <c r="AB27" s="45">
        <v>981.2</v>
      </c>
      <c r="AC27" s="46">
        <f>IFERROR(AD27/E27,0)</f>
        <v>2682.87248</v>
      </c>
      <c r="AD27" s="47">
        <f t="shared" si="3"/>
        <v>14755.798640000001</v>
      </c>
      <c r="AE27" s="48">
        <v>154</v>
      </c>
      <c r="AF27" s="49"/>
      <c r="AG27" s="50">
        <v>66</v>
      </c>
      <c r="AH27" s="51"/>
      <c r="AI27" s="50">
        <v>480</v>
      </c>
      <c r="AJ27" s="50">
        <v>700</v>
      </c>
      <c r="AK27" s="50">
        <f>450+450</f>
        <v>900</v>
      </c>
      <c r="AL27" s="46"/>
      <c r="AM27" s="38"/>
      <c r="AN27" s="52"/>
      <c r="AO27" s="50">
        <v>1.54</v>
      </c>
      <c r="AP27" s="46"/>
      <c r="AQ27" s="52">
        <v>154</v>
      </c>
      <c r="AR27" s="53">
        <f t="shared" si="4"/>
        <v>3003.4838000000004</v>
      </c>
      <c r="AS27" s="54">
        <f>AR27*E27</f>
        <v>16519.160900000003</v>
      </c>
      <c r="AT27" s="43">
        <f t="shared" si="5"/>
        <v>320.61132000000043</v>
      </c>
      <c r="AU27" s="41">
        <f>IFERROR(AT27*E27,0)</f>
        <v>1763.3622600000024</v>
      </c>
      <c r="AV27" s="38" t="str">
        <f>D27</f>
        <v>M10</v>
      </c>
      <c r="AW27" s="38">
        <f>P27/E27</f>
        <v>60.888888888888886</v>
      </c>
      <c r="AX27" s="38">
        <f>Q27/E27</f>
        <v>98.444444444444443</v>
      </c>
      <c r="AY27" s="38">
        <f>R27/E27</f>
        <v>0</v>
      </c>
      <c r="AZ27" s="38">
        <f>S27/E27</f>
        <v>0</v>
      </c>
      <c r="BA27" s="38">
        <f>T27/E27</f>
        <v>426.8</v>
      </c>
      <c r="BB27" s="38">
        <f>U27/E27</f>
        <v>706</v>
      </c>
      <c r="BC27" s="38">
        <f>V27/E27</f>
        <v>1051.2</v>
      </c>
      <c r="BD27" s="38"/>
      <c r="BE27" s="38">
        <f>X27/E27</f>
        <v>0.8640000000000001</v>
      </c>
      <c r="BF27" s="38">
        <f>Y27/E27</f>
        <v>0</v>
      </c>
      <c r="BG27" s="38">
        <f>AB27/E27</f>
        <v>178.4</v>
      </c>
      <c r="BH27" s="55">
        <f>Z27/E27</f>
        <v>0</v>
      </c>
      <c r="BI27" s="38"/>
      <c r="BJ27" s="38">
        <f t="shared" si="6"/>
        <v>2522.5973333333332</v>
      </c>
    </row>
    <row r="28" spans="1:62" ht="18.75">
      <c r="A28" s="36">
        <v>45720</v>
      </c>
      <c r="B28" s="37" t="s">
        <v>61</v>
      </c>
      <c r="C28" s="38"/>
      <c r="D28" s="39" t="s">
        <v>37</v>
      </c>
      <c r="E28" s="66">
        <v>6</v>
      </c>
      <c r="F28" s="41"/>
      <c r="G28" s="37" t="s">
        <v>38</v>
      </c>
      <c r="H28" s="42">
        <v>5500</v>
      </c>
      <c r="I28" s="38">
        <f t="shared" si="0"/>
        <v>3382.0320000000002</v>
      </c>
      <c r="J28" s="43">
        <f t="shared" si="7"/>
        <v>3115.2555166666675</v>
      </c>
      <c r="K28" s="43">
        <f t="shared" si="8"/>
        <v>2117.9679999999998</v>
      </c>
      <c r="L28" s="43">
        <f t="shared" si="9"/>
        <v>2384.7444833333325</v>
      </c>
      <c r="M28" s="43">
        <f t="shared" si="1"/>
        <v>0.56641009393939412</v>
      </c>
      <c r="N28" s="43">
        <f t="shared" si="10"/>
        <v>0.61491490909090907</v>
      </c>
      <c r="O28" s="44">
        <f t="shared" si="2"/>
        <v>8.5635506271018111E-2</v>
      </c>
      <c r="P28" s="45">
        <v>838</v>
      </c>
      <c r="Q28" s="45">
        <v>848</v>
      </c>
      <c r="R28" s="45">
        <f t="shared" ref="R28:AA28" si="11">+R27*5.5</f>
        <v>0</v>
      </c>
      <c r="S28" s="45">
        <f t="shared" si="11"/>
        <v>0</v>
      </c>
      <c r="T28" s="45">
        <v>2921</v>
      </c>
      <c r="U28" s="45">
        <v>4361</v>
      </c>
      <c r="V28" s="45">
        <f>2499+2556</f>
        <v>5055</v>
      </c>
      <c r="W28" s="45">
        <f t="shared" si="11"/>
        <v>0</v>
      </c>
      <c r="X28" s="45">
        <v>5.93</v>
      </c>
      <c r="Y28" s="45">
        <f t="shared" si="11"/>
        <v>0</v>
      </c>
      <c r="Z28" s="45">
        <f t="shared" si="11"/>
        <v>0</v>
      </c>
      <c r="AA28" s="45">
        <f t="shared" si="11"/>
        <v>0</v>
      </c>
      <c r="AB28" s="45">
        <v>1069</v>
      </c>
      <c r="AC28" s="46">
        <f>IFERROR(AD28/E28,0)</f>
        <v>3115.2555166666675</v>
      </c>
      <c r="AD28" s="47">
        <f t="shared" si="3"/>
        <v>18691.533100000004</v>
      </c>
      <c r="AE28" s="48">
        <v>210</v>
      </c>
      <c r="AF28" s="49"/>
      <c r="AG28" s="50">
        <v>90</v>
      </c>
      <c r="AH28" s="51"/>
      <c r="AI28" s="50">
        <v>500</v>
      </c>
      <c r="AJ28" s="50">
        <v>755</v>
      </c>
      <c r="AK28" s="50">
        <v>810</v>
      </c>
      <c r="AL28" s="46"/>
      <c r="AM28" s="38"/>
      <c r="AN28" s="52"/>
      <c r="AO28" s="52">
        <v>2.1</v>
      </c>
      <c r="AP28" s="46"/>
      <c r="AQ28" s="52">
        <v>159</v>
      </c>
      <c r="AR28" s="53">
        <f t="shared" si="4"/>
        <v>3382.0320000000002</v>
      </c>
      <c r="AS28" s="54">
        <f>AR28*E28</f>
        <v>20292.192000000003</v>
      </c>
      <c r="AT28" s="43">
        <f t="shared" si="5"/>
        <v>266.77648333333264</v>
      </c>
      <c r="AU28" s="41">
        <f>IFERROR(AT28*E28,0)</f>
        <v>1600.6588999999958</v>
      </c>
      <c r="AV28" s="38" t="str">
        <f>D28</f>
        <v>M20</v>
      </c>
      <c r="AW28" s="38">
        <f>P28/E28</f>
        <v>139.66666666666666</v>
      </c>
      <c r="AX28" s="38">
        <f>Q28/E28</f>
        <v>141.33333333333334</v>
      </c>
      <c r="AY28" s="38">
        <f>R28/E28</f>
        <v>0</v>
      </c>
      <c r="AZ28" s="38">
        <f>S28/E28</f>
        <v>0</v>
      </c>
      <c r="BA28" s="38">
        <f>T28/E28</f>
        <v>486.83333333333331</v>
      </c>
      <c r="BB28" s="38">
        <f>U28/E28</f>
        <v>726.83333333333337</v>
      </c>
      <c r="BC28" s="38">
        <f>V28/E28</f>
        <v>842.5</v>
      </c>
      <c r="BD28" s="38"/>
      <c r="BE28" s="38">
        <f>X28/E28</f>
        <v>0.98833333333333329</v>
      </c>
      <c r="BF28" s="38">
        <f>Y28/E28</f>
        <v>0</v>
      </c>
      <c r="BG28" s="38">
        <f>AB28/E28</f>
        <v>178.16666666666666</v>
      </c>
      <c r="BH28" s="55">
        <f>Z28/E28</f>
        <v>0</v>
      </c>
      <c r="BI28" s="38"/>
      <c r="BJ28" s="38">
        <f t="shared" si="6"/>
        <v>2516.3216666666663</v>
      </c>
    </row>
    <row r="29" spans="1:62" ht="18.75">
      <c r="A29" s="36">
        <v>45720</v>
      </c>
      <c r="B29" s="37" t="s">
        <v>36</v>
      </c>
      <c r="C29" s="38"/>
      <c r="D29" s="39" t="s">
        <v>43</v>
      </c>
      <c r="E29" s="66">
        <v>20</v>
      </c>
      <c r="F29" s="41"/>
      <c r="G29" s="37" t="s">
        <v>59</v>
      </c>
      <c r="H29" s="42">
        <v>5800</v>
      </c>
      <c r="I29" s="38">
        <f t="shared" si="0"/>
        <v>3707.0834</v>
      </c>
      <c r="J29" s="43">
        <f t="shared" si="7"/>
        <v>3394.3597200000004</v>
      </c>
      <c r="K29" s="43">
        <f t="shared" si="8"/>
        <v>2092.9166</v>
      </c>
      <c r="L29" s="43">
        <f t="shared" si="9"/>
        <v>2405.6402799999996</v>
      </c>
      <c r="M29" s="43">
        <f t="shared" si="1"/>
        <v>0.58523443448275869</v>
      </c>
      <c r="N29" s="43">
        <f t="shared" si="10"/>
        <v>0.63915231034482756</v>
      </c>
      <c r="O29" s="44">
        <f t="shared" si="2"/>
        <v>9.2130388584742984E-2</v>
      </c>
      <c r="P29" s="45">
        <f>2000+2189</f>
        <v>4189</v>
      </c>
      <c r="Q29" s="45">
        <v>2609</v>
      </c>
      <c r="R29" s="62"/>
      <c r="S29" s="62"/>
      <c r="T29" s="45">
        <v>8730</v>
      </c>
      <c r="U29" s="45">
        <v>13372</v>
      </c>
      <c r="V29" s="45">
        <f>8795+8645</f>
        <v>17440</v>
      </c>
      <c r="W29" s="45"/>
      <c r="X29" s="45">
        <v>28.22</v>
      </c>
      <c r="Y29" s="45"/>
      <c r="Z29" s="45"/>
      <c r="AA29" s="45"/>
      <c r="AB29" s="45">
        <v>3555</v>
      </c>
      <c r="AC29" s="46">
        <f>IFERROR(AD29/E29,0)</f>
        <v>3394.3597200000004</v>
      </c>
      <c r="AD29" s="47">
        <f t="shared" si="3"/>
        <v>67887.194400000008</v>
      </c>
      <c r="AE29" s="48">
        <v>288</v>
      </c>
      <c r="AF29" s="49"/>
      <c r="AG29" s="50">
        <v>72</v>
      </c>
      <c r="AH29" s="51"/>
      <c r="AI29" s="50">
        <v>495</v>
      </c>
      <c r="AJ29" s="50">
        <v>743</v>
      </c>
      <c r="AK29" s="50">
        <v>775</v>
      </c>
      <c r="AL29" s="46"/>
      <c r="AM29" s="38"/>
      <c r="AN29" s="52"/>
      <c r="AO29" s="50">
        <v>2.52</v>
      </c>
      <c r="AP29" s="46"/>
      <c r="AQ29" s="52">
        <v>160</v>
      </c>
      <c r="AR29" s="53">
        <f t="shared" si="4"/>
        <v>3707.0834</v>
      </c>
      <c r="AS29" s="54">
        <f>AR29*E29</f>
        <v>74141.668000000005</v>
      </c>
      <c r="AT29" s="43">
        <f t="shared" si="5"/>
        <v>312.7236799999996</v>
      </c>
      <c r="AU29" s="41">
        <f>IFERROR(AT29*E29,0)</f>
        <v>6254.4735999999921</v>
      </c>
      <c r="AV29" s="38" t="str">
        <f>D29</f>
        <v>M30</v>
      </c>
      <c r="AW29" s="38">
        <f>P29/E29</f>
        <v>209.45</v>
      </c>
      <c r="AX29" s="38">
        <f>Q29/E29</f>
        <v>130.44999999999999</v>
      </c>
      <c r="AY29" s="38">
        <f>R29/E29</f>
        <v>0</v>
      </c>
      <c r="AZ29" s="38">
        <f>S29/E29</f>
        <v>0</v>
      </c>
      <c r="BA29" s="38">
        <f>T29/E29</f>
        <v>436.5</v>
      </c>
      <c r="BB29" s="38">
        <f>U29/E29</f>
        <v>668.6</v>
      </c>
      <c r="BC29" s="38">
        <f>V29/E29</f>
        <v>872</v>
      </c>
      <c r="BD29" s="38"/>
      <c r="BE29" s="38">
        <f>X29/E29</f>
        <v>1.411</v>
      </c>
      <c r="BF29" s="38">
        <f>Y29/E29</f>
        <v>0</v>
      </c>
      <c r="BG29" s="38">
        <f>AB29/E29</f>
        <v>177.75</v>
      </c>
      <c r="BH29" s="55">
        <f>Z29/E29</f>
        <v>0</v>
      </c>
      <c r="BI29" s="38"/>
      <c r="BJ29" s="38">
        <f t="shared" si="6"/>
        <v>2496.1610000000001</v>
      </c>
    </row>
    <row r="30" spans="1:62" ht="18.75">
      <c r="A30" s="36">
        <v>45720</v>
      </c>
      <c r="B30" s="37" t="s">
        <v>36</v>
      </c>
      <c r="C30" s="38"/>
      <c r="D30" s="39" t="s">
        <v>43</v>
      </c>
      <c r="E30" s="66">
        <v>98</v>
      </c>
      <c r="F30" s="41"/>
      <c r="G30" s="37" t="s">
        <v>59</v>
      </c>
      <c r="H30" s="42">
        <v>5800</v>
      </c>
      <c r="I30" s="38">
        <f t="shared" si="0"/>
        <v>3707.0834</v>
      </c>
      <c r="J30" s="43">
        <f t="shared" si="7"/>
        <v>3301.765952040816</v>
      </c>
      <c r="K30" s="43">
        <f t="shared" si="8"/>
        <v>2092.9166</v>
      </c>
      <c r="L30" s="43">
        <f t="shared" si="9"/>
        <v>2498.234047959184</v>
      </c>
      <c r="M30" s="43">
        <f t="shared" si="1"/>
        <v>0.56926999173117521</v>
      </c>
      <c r="N30" s="43">
        <f t="shared" si="10"/>
        <v>0.63915231034482756</v>
      </c>
      <c r="O30" s="44">
        <f t="shared" si="2"/>
        <v>0.12275777685231068</v>
      </c>
      <c r="P30" s="45">
        <v>13986</v>
      </c>
      <c r="Q30" s="45">
        <v>21256</v>
      </c>
      <c r="R30" s="62"/>
      <c r="S30" s="62"/>
      <c r="T30" s="45">
        <v>45919</v>
      </c>
      <c r="U30" s="45">
        <v>67440</v>
      </c>
      <c r="V30" s="45">
        <f>40029+39730</f>
        <v>79759</v>
      </c>
      <c r="W30" s="45"/>
      <c r="X30" s="45">
        <v>137.09</v>
      </c>
      <c r="Y30" s="45"/>
      <c r="Z30" s="45"/>
      <c r="AA30" s="45"/>
      <c r="AB30" s="45">
        <v>17134</v>
      </c>
      <c r="AC30" s="46">
        <f>IFERROR(AD30/E30,0)</f>
        <v>3301.765952040816</v>
      </c>
      <c r="AD30" s="47">
        <f t="shared" si="3"/>
        <v>323573.06329999998</v>
      </c>
      <c r="AE30" s="48">
        <v>288</v>
      </c>
      <c r="AF30" s="49"/>
      <c r="AG30" s="50">
        <v>72</v>
      </c>
      <c r="AH30" s="51"/>
      <c r="AI30" s="50">
        <v>495</v>
      </c>
      <c r="AJ30" s="50">
        <v>743</v>
      </c>
      <c r="AK30" s="50">
        <v>775</v>
      </c>
      <c r="AL30" s="46"/>
      <c r="AM30" s="38"/>
      <c r="AN30" s="52"/>
      <c r="AO30" s="50">
        <v>2.52</v>
      </c>
      <c r="AP30" s="46"/>
      <c r="AQ30" s="52">
        <v>160</v>
      </c>
      <c r="AR30" s="53">
        <f t="shared" si="4"/>
        <v>3707.0834</v>
      </c>
      <c r="AS30" s="54">
        <f>AR30*E30</f>
        <v>363294.17320000002</v>
      </c>
      <c r="AT30" s="43">
        <f t="shared" si="5"/>
        <v>405.31744795918394</v>
      </c>
      <c r="AU30" s="41">
        <f>IFERROR(AT30*E30,0)</f>
        <v>39721.109900000025</v>
      </c>
      <c r="AV30" s="38" t="str">
        <f>D30</f>
        <v>M30</v>
      </c>
      <c r="AW30" s="38">
        <f>P30/E30</f>
        <v>142.71428571428572</v>
      </c>
      <c r="AX30" s="38">
        <f>Q30/E30</f>
        <v>216.89795918367346</v>
      </c>
      <c r="AY30" s="38">
        <f>R30/E30</f>
        <v>0</v>
      </c>
      <c r="AZ30" s="38">
        <f>S30/E30</f>
        <v>0</v>
      </c>
      <c r="BA30" s="38">
        <f>T30/E30</f>
        <v>468.5612244897959</v>
      </c>
      <c r="BB30" s="38">
        <f>U30/E30</f>
        <v>688.16326530612241</v>
      </c>
      <c r="BC30" s="38">
        <f>V30/E30</f>
        <v>813.86734693877554</v>
      </c>
      <c r="BD30" s="38"/>
      <c r="BE30" s="38">
        <f>X30/E30</f>
        <v>1.3988775510204081</v>
      </c>
      <c r="BF30" s="38">
        <f>Y30/E30</f>
        <v>0</v>
      </c>
      <c r="BG30" s="38">
        <f>AB30/E30</f>
        <v>174.83673469387756</v>
      </c>
      <c r="BH30" s="55">
        <f>Z30/E30</f>
        <v>0</v>
      </c>
      <c r="BI30" s="38"/>
      <c r="BJ30" s="38">
        <f t="shared" si="6"/>
        <v>2506.4396938775512</v>
      </c>
    </row>
    <row r="31" spans="1:62" ht="18.75">
      <c r="A31" s="36">
        <v>45721</v>
      </c>
      <c r="B31" s="37" t="s">
        <v>47</v>
      </c>
      <c r="C31" s="38"/>
      <c r="D31" s="39" t="s">
        <v>31</v>
      </c>
      <c r="E31" s="66">
        <v>6</v>
      </c>
      <c r="F31" s="41"/>
      <c r="G31" s="37" t="s">
        <v>32</v>
      </c>
      <c r="H31" s="42">
        <v>4900</v>
      </c>
      <c r="I31" s="38">
        <f t="shared" si="0"/>
        <v>3053.1180000000004</v>
      </c>
      <c r="J31" s="43">
        <f t="shared" si="7"/>
        <v>2592.5133833333334</v>
      </c>
      <c r="K31" s="43">
        <f t="shared" si="8"/>
        <v>1846.8819999999996</v>
      </c>
      <c r="L31" s="43">
        <f t="shared" si="9"/>
        <v>2307.4866166666666</v>
      </c>
      <c r="M31" s="43">
        <f t="shared" si="1"/>
        <v>0.52908436394557823</v>
      </c>
      <c r="N31" s="43">
        <f t="shared" si="10"/>
        <v>0.62308530612244906</v>
      </c>
      <c r="O31" s="44">
        <f t="shared" si="2"/>
        <v>0.177667208828231</v>
      </c>
      <c r="P31" s="45">
        <v>602</v>
      </c>
      <c r="Q31" s="45"/>
      <c r="R31" s="62"/>
      <c r="S31" s="62"/>
      <c r="T31" s="45">
        <v>2836</v>
      </c>
      <c r="U31" s="45">
        <v>4128</v>
      </c>
      <c r="V31" s="45">
        <f>3107+3085</f>
        <v>6192</v>
      </c>
      <c r="W31" s="45"/>
      <c r="X31" s="45">
        <v>4.59</v>
      </c>
      <c r="Y31" s="45"/>
      <c r="Z31" s="45"/>
      <c r="AA31" s="45"/>
      <c r="AB31" s="45">
        <v>1113</v>
      </c>
      <c r="AC31" s="46">
        <f>IFERROR(AD31/E31,0)</f>
        <v>2592.5133833333334</v>
      </c>
      <c r="AD31" s="47">
        <f t="shared" si="3"/>
        <v>15555.0803</v>
      </c>
      <c r="AE31" s="48">
        <v>154</v>
      </c>
      <c r="AF31" s="49"/>
      <c r="AG31" s="50">
        <v>66</v>
      </c>
      <c r="AH31" s="51"/>
      <c r="AI31" s="50">
        <v>480</v>
      </c>
      <c r="AJ31" s="50">
        <v>700</v>
      </c>
      <c r="AK31" s="50">
        <f>450+450</f>
        <v>900</v>
      </c>
      <c r="AL31" s="46"/>
      <c r="AM31" s="38"/>
      <c r="AN31" s="52">
        <v>1.54</v>
      </c>
      <c r="AO31" s="50"/>
      <c r="AP31" s="46"/>
      <c r="AQ31" s="52">
        <v>154</v>
      </c>
      <c r="AR31" s="53">
        <f t="shared" si="4"/>
        <v>3053.1180000000004</v>
      </c>
      <c r="AS31" s="54">
        <f>AR31*E31</f>
        <v>18318.708000000002</v>
      </c>
      <c r="AT31" s="43">
        <f t="shared" si="5"/>
        <v>460.60461666666697</v>
      </c>
      <c r="AU31" s="41">
        <f>IFERROR(AT31*E31,0)</f>
        <v>2763.6277000000018</v>
      </c>
      <c r="AV31" s="38" t="str">
        <f>D31</f>
        <v>M10</v>
      </c>
      <c r="AW31" s="38">
        <f>P31/E31</f>
        <v>100.33333333333333</v>
      </c>
      <c r="AX31" s="38">
        <f>Q31/E31</f>
        <v>0</v>
      </c>
      <c r="AY31" s="38">
        <f>R31/E31</f>
        <v>0</v>
      </c>
      <c r="AZ31" s="38">
        <f>S31/E31</f>
        <v>0</v>
      </c>
      <c r="BA31" s="38">
        <f>T31/E31</f>
        <v>472.66666666666669</v>
      </c>
      <c r="BB31" s="38">
        <f>U31/E31</f>
        <v>688</v>
      </c>
      <c r="BC31" s="38">
        <f>V31/E31</f>
        <v>1032</v>
      </c>
      <c r="BD31" s="38"/>
      <c r="BE31" s="38">
        <f>X31/E31</f>
        <v>0.76500000000000001</v>
      </c>
      <c r="BF31" s="38">
        <f>Y31/E31</f>
        <v>0</v>
      </c>
      <c r="BG31" s="38">
        <f>AB31/E31</f>
        <v>185.5</v>
      </c>
      <c r="BH31" s="55">
        <f>Z31/E31</f>
        <v>0</v>
      </c>
      <c r="BI31" s="38"/>
      <c r="BJ31" s="38">
        <f t="shared" si="6"/>
        <v>2479.2649999999999</v>
      </c>
    </row>
    <row r="32" spans="1:62" ht="18.75">
      <c r="A32" s="36">
        <v>45721</v>
      </c>
      <c r="B32" s="37" t="s">
        <v>30</v>
      </c>
      <c r="C32" s="38"/>
      <c r="D32" s="39" t="s">
        <v>31</v>
      </c>
      <c r="E32" s="40">
        <v>5</v>
      </c>
      <c r="F32" s="41"/>
      <c r="G32" s="37" t="s">
        <v>32</v>
      </c>
      <c r="H32" s="42">
        <v>5400</v>
      </c>
      <c r="I32" s="38">
        <f t="shared" si="0"/>
        <v>3003.4838000000004</v>
      </c>
      <c r="J32" s="43">
        <f t="shared" si="7"/>
        <v>2640.0216399999999</v>
      </c>
      <c r="K32" s="43">
        <f t="shared" si="8"/>
        <v>2396.5161999999996</v>
      </c>
      <c r="L32" s="43">
        <f t="shared" si="9"/>
        <v>2759.9783600000001</v>
      </c>
      <c r="M32" s="43">
        <f t="shared" si="1"/>
        <v>0.48889289629629629</v>
      </c>
      <c r="N32" s="43">
        <f t="shared" si="10"/>
        <v>0.55620070370370378</v>
      </c>
      <c r="O32" s="44">
        <f t="shared" si="2"/>
        <v>0.13767393209701131</v>
      </c>
      <c r="P32" s="45">
        <v>302</v>
      </c>
      <c r="Q32" s="45">
        <v>501</v>
      </c>
      <c r="R32" s="62"/>
      <c r="S32" s="62"/>
      <c r="T32" s="45">
        <v>2305</v>
      </c>
      <c r="U32" s="45">
        <v>3365</v>
      </c>
      <c r="V32" s="45">
        <f>2486+2518</f>
        <v>5004</v>
      </c>
      <c r="W32" s="45"/>
      <c r="X32" s="45">
        <v>4.26</v>
      </c>
      <c r="Y32" s="45"/>
      <c r="Z32" s="45"/>
      <c r="AA32" s="45"/>
      <c r="AB32" s="45">
        <v>907</v>
      </c>
      <c r="AC32" s="46">
        <f>IFERROR(AD32/E32,0)</f>
        <v>2640.0216399999999</v>
      </c>
      <c r="AD32" s="47">
        <f t="shared" si="3"/>
        <v>13200.108200000001</v>
      </c>
      <c r="AE32" s="48">
        <v>154</v>
      </c>
      <c r="AF32" s="49"/>
      <c r="AG32" s="50">
        <v>66</v>
      </c>
      <c r="AH32" s="51"/>
      <c r="AI32" s="50">
        <v>480</v>
      </c>
      <c r="AJ32" s="50">
        <v>700</v>
      </c>
      <c r="AK32" s="50">
        <f>450+450</f>
        <v>900</v>
      </c>
      <c r="AL32" s="46"/>
      <c r="AM32" s="38"/>
      <c r="AN32" s="52"/>
      <c r="AO32" s="50">
        <v>1.54</v>
      </c>
      <c r="AP32" s="46"/>
      <c r="AQ32" s="52">
        <v>154</v>
      </c>
      <c r="AR32" s="53">
        <f t="shared" si="4"/>
        <v>3003.4838000000004</v>
      </c>
      <c r="AS32" s="54">
        <f>AR32*E32</f>
        <v>15017.419000000002</v>
      </c>
      <c r="AT32" s="43">
        <f t="shared" si="5"/>
        <v>363.46216000000049</v>
      </c>
      <c r="AU32" s="41">
        <f>IFERROR(AT32*E32,0)</f>
        <v>1817.3108000000025</v>
      </c>
      <c r="AV32" s="38" t="str">
        <f>D32</f>
        <v>M10</v>
      </c>
      <c r="AW32" s="38">
        <f>P32/E32</f>
        <v>60.4</v>
      </c>
      <c r="AX32" s="38">
        <f>Q32/E32</f>
        <v>100.2</v>
      </c>
      <c r="AY32" s="38">
        <f>R32/E32</f>
        <v>0</v>
      </c>
      <c r="AZ32" s="38">
        <f>S32/E32</f>
        <v>0</v>
      </c>
      <c r="BA32" s="38">
        <f>T32/E32</f>
        <v>461</v>
      </c>
      <c r="BB32" s="38">
        <f>U32/E32</f>
        <v>673</v>
      </c>
      <c r="BC32" s="38">
        <f>V32/E32</f>
        <v>1000.8</v>
      </c>
      <c r="BD32" s="38"/>
      <c r="BE32" s="38">
        <f>X32/E32</f>
        <v>0.85199999999999998</v>
      </c>
      <c r="BF32" s="38">
        <f>Y32/E32</f>
        <v>0</v>
      </c>
      <c r="BG32" s="38">
        <f>AB32/E32</f>
        <v>181.4</v>
      </c>
      <c r="BH32" s="55">
        <f>Z32/E32</f>
        <v>0</v>
      </c>
      <c r="BI32" s="38"/>
      <c r="BJ32" s="38">
        <f t="shared" si="6"/>
        <v>2477.6519999999996</v>
      </c>
    </row>
    <row r="33" spans="1:62" ht="18.75">
      <c r="A33" s="36">
        <v>45721</v>
      </c>
      <c r="B33" s="37" t="s">
        <v>62</v>
      </c>
      <c r="C33" s="38"/>
      <c r="D33" s="39" t="s">
        <v>40</v>
      </c>
      <c r="E33" s="66">
        <v>9</v>
      </c>
      <c r="F33" s="41"/>
      <c r="G33" s="37" t="s">
        <v>41</v>
      </c>
      <c r="H33" s="42">
        <v>5900</v>
      </c>
      <c r="I33" s="38">
        <f t="shared" si="0"/>
        <v>3452.0828000000001</v>
      </c>
      <c r="J33" s="43">
        <f t="shared" si="7"/>
        <v>3159.6766449999996</v>
      </c>
      <c r="K33" s="43">
        <f t="shared" si="8"/>
        <v>2447.9171999999999</v>
      </c>
      <c r="L33" s="43">
        <f t="shared" si="9"/>
        <v>2740.3233550000004</v>
      </c>
      <c r="M33" s="43">
        <f t="shared" si="1"/>
        <v>0.53553841440677963</v>
      </c>
      <c r="N33" s="43">
        <f t="shared" si="10"/>
        <v>0.58509877966101698</v>
      </c>
      <c r="O33" s="44">
        <f t="shared" si="2"/>
        <v>9.2543063057644107E-2</v>
      </c>
      <c r="P33" s="45">
        <v>1147.5</v>
      </c>
      <c r="Q33" s="45">
        <v>1737.45</v>
      </c>
      <c r="R33" s="45">
        <v>0</v>
      </c>
      <c r="S33" s="45">
        <v>0</v>
      </c>
      <c r="T33" s="45">
        <v>4276.3499999999995</v>
      </c>
      <c r="U33" s="45">
        <v>6372.9000000000005</v>
      </c>
      <c r="V33" s="45">
        <v>7321.95</v>
      </c>
      <c r="W33" s="45">
        <v>0</v>
      </c>
      <c r="X33" s="45">
        <v>9.8415000000000017</v>
      </c>
      <c r="Y33" s="45">
        <v>0</v>
      </c>
      <c r="Z33" s="45">
        <v>0</v>
      </c>
      <c r="AA33" s="45">
        <v>0</v>
      </c>
      <c r="AB33" s="45">
        <v>1586.7</v>
      </c>
      <c r="AC33" s="46">
        <f>IFERROR(AD33/E33,0)</f>
        <v>3159.6766449999996</v>
      </c>
      <c r="AD33" s="47">
        <f t="shared" si="3"/>
        <v>28437.089804999996</v>
      </c>
      <c r="AE33" s="48">
        <v>224</v>
      </c>
      <c r="AF33" s="49"/>
      <c r="AG33" s="50">
        <v>96</v>
      </c>
      <c r="AH33" s="51"/>
      <c r="AI33" s="50">
        <v>495</v>
      </c>
      <c r="AJ33" s="50">
        <v>740</v>
      </c>
      <c r="AK33" s="50">
        <v>800</v>
      </c>
      <c r="AL33" s="46"/>
      <c r="AM33" s="38"/>
      <c r="AN33" s="52"/>
      <c r="AO33" s="50">
        <v>2.2400000000000002</v>
      </c>
      <c r="AP33" s="46"/>
      <c r="AQ33" s="52">
        <v>155</v>
      </c>
      <c r="AR33" s="53">
        <f t="shared" si="4"/>
        <v>3452.0828000000001</v>
      </c>
      <c r="AS33" s="54">
        <f>AR33*E33</f>
        <v>31068.745200000001</v>
      </c>
      <c r="AT33" s="43">
        <f t="shared" si="5"/>
        <v>292.40615500000058</v>
      </c>
      <c r="AU33" s="41">
        <f>IFERROR(AT33*E33,0)</f>
        <v>2631.6553950000052</v>
      </c>
      <c r="AV33" s="38" t="str">
        <f>D33</f>
        <v>M25</v>
      </c>
      <c r="AW33" s="38">
        <f>P33/E33</f>
        <v>127.5</v>
      </c>
      <c r="AX33" s="38">
        <f>Q33/E33</f>
        <v>193.05</v>
      </c>
      <c r="AY33" s="38">
        <f>R33/E33</f>
        <v>0</v>
      </c>
      <c r="AZ33" s="38">
        <f>S33/E33</f>
        <v>0</v>
      </c>
      <c r="BA33" s="38">
        <f>T33/E33</f>
        <v>475.14999999999992</v>
      </c>
      <c r="BB33" s="38">
        <f>U33/E33</f>
        <v>708.1</v>
      </c>
      <c r="BC33" s="38">
        <f>V33/E33</f>
        <v>813.55</v>
      </c>
      <c r="BD33" s="38"/>
      <c r="BE33" s="38">
        <f>X33/E33</f>
        <v>1.0935000000000001</v>
      </c>
      <c r="BF33" s="38">
        <f>Y33/E33</f>
        <v>0</v>
      </c>
      <c r="BG33" s="38">
        <f>AB33/E33</f>
        <v>176.3</v>
      </c>
      <c r="BH33" s="55">
        <f>Z33/E33</f>
        <v>0</v>
      </c>
      <c r="BI33" s="38"/>
      <c r="BJ33" s="38">
        <f t="shared" si="6"/>
        <v>2494.7435</v>
      </c>
    </row>
    <row r="34" spans="1:62" ht="18.75">
      <c r="A34" s="36">
        <v>45721</v>
      </c>
      <c r="B34" s="37" t="s">
        <v>63</v>
      </c>
      <c r="C34" s="38"/>
      <c r="D34" s="39" t="s">
        <v>40</v>
      </c>
      <c r="E34" s="40">
        <v>11</v>
      </c>
      <c r="F34" s="41"/>
      <c r="G34" s="37" t="s">
        <v>64</v>
      </c>
      <c r="H34" s="42">
        <v>5700</v>
      </c>
      <c r="I34" s="38">
        <f t="shared" si="0"/>
        <v>3533.3622000000005</v>
      </c>
      <c r="J34" s="43">
        <f t="shared" si="7"/>
        <v>3159.6766449999996</v>
      </c>
      <c r="K34" s="43">
        <f t="shared" si="8"/>
        <v>2166.6377999999995</v>
      </c>
      <c r="L34" s="43">
        <f t="shared" si="9"/>
        <v>2540.3233550000004</v>
      </c>
      <c r="M34" s="43">
        <f t="shared" si="1"/>
        <v>0.55432923596491224</v>
      </c>
      <c r="N34" s="43">
        <f t="shared" si="10"/>
        <v>0.61988810526315796</v>
      </c>
      <c r="O34" s="44">
        <f t="shared" si="2"/>
        <v>0.11826702444104076</v>
      </c>
      <c r="P34" s="45">
        <v>1402.5</v>
      </c>
      <c r="Q34" s="45">
        <v>2123.5500000000002</v>
      </c>
      <c r="R34" s="45">
        <v>0</v>
      </c>
      <c r="S34" s="45">
        <v>0</v>
      </c>
      <c r="T34" s="45">
        <v>5226.6499999999996</v>
      </c>
      <c r="U34" s="45">
        <v>7789.1</v>
      </c>
      <c r="V34" s="45">
        <v>8949.0499999999993</v>
      </c>
      <c r="W34" s="45">
        <v>0</v>
      </c>
      <c r="X34" s="45">
        <v>12.028500000000001</v>
      </c>
      <c r="Y34" s="45">
        <v>0</v>
      </c>
      <c r="Z34" s="45">
        <v>0</v>
      </c>
      <c r="AA34" s="45">
        <v>0</v>
      </c>
      <c r="AB34" s="45">
        <v>1939.3000000000002</v>
      </c>
      <c r="AC34" s="46">
        <f>IFERROR(AD34/E34,0)</f>
        <v>3159.6766449999996</v>
      </c>
      <c r="AD34" s="47">
        <f t="shared" si="3"/>
        <v>34756.443094999995</v>
      </c>
      <c r="AE34" s="48">
        <v>216</v>
      </c>
      <c r="AF34" s="49"/>
      <c r="AG34" s="50">
        <v>144</v>
      </c>
      <c r="AH34" s="51"/>
      <c r="AI34" s="50">
        <v>495</v>
      </c>
      <c r="AJ34" s="50">
        <v>743</v>
      </c>
      <c r="AK34" s="50">
        <v>775</v>
      </c>
      <c r="AL34" s="46"/>
      <c r="AM34" s="38"/>
      <c r="AN34" s="52"/>
      <c r="AO34" s="50">
        <v>2.16</v>
      </c>
      <c r="AP34" s="46"/>
      <c r="AQ34" s="52">
        <v>155</v>
      </c>
      <c r="AR34" s="53">
        <f t="shared" si="4"/>
        <v>3533.3622000000005</v>
      </c>
      <c r="AS34" s="54">
        <f>AR34*E34</f>
        <v>38866.984200000006</v>
      </c>
      <c r="AT34" s="43">
        <f t="shared" si="5"/>
        <v>373.68555500000093</v>
      </c>
      <c r="AU34" s="41">
        <f>IFERROR(AT34*E34,0)</f>
        <v>4110.5411050000102</v>
      </c>
      <c r="AV34" s="38" t="str">
        <f>D34</f>
        <v>M25</v>
      </c>
      <c r="AW34" s="38">
        <f>P34/E34</f>
        <v>127.5</v>
      </c>
      <c r="AX34" s="38">
        <f>Q34/E34</f>
        <v>193.05</v>
      </c>
      <c r="AY34" s="38">
        <f>R34/E34</f>
        <v>0</v>
      </c>
      <c r="AZ34" s="38">
        <f>S34/E34</f>
        <v>0</v>
      </c>
      <c r="BA34" s="38">
        <f>T34/E34</f>
        <v>475.15</v>
      </c>
      <c r="BB34" s="38">
        <f>U34/E34</f>
        <v>708.1</v>
      </c>
      <c r="BC34" s="38">
        <f>V34/E34</f>
        <v>813.55</v>
      </c>
      <c r="BD34" s="38"/>
      <c r="BE34" s="38">
        <f>X34/E34</f>
        <v>1.0935000000000001</v>
      </c>
      <c r="BF34" s="38">
        <f>Y34/E34</f>
        <v>0</v>
      </c>
      <c r="BG34" s="38">
        <f>AB34/E34</f>
        <v>176.3</v>
      </c>
      <c r="BH34" s="55">
        <f>Z34/E34</f>
        <v>0</v>
      </c>
      <c r="BI34" s="38"/>
      <c r="BJ34" s="38">
        <f t="shared" si="6"/>
        <v>2494.7435000000005</v>
      </c>
    </row>
    <row r="35" spans="1:62" ht="18.75">
      <c r="A35" s="36">
        <v>45721</v>
      </c>
      <c r="B35" s="37" t="s">
        <v>65</v>
      </c>
      <c r="C35" s="38"/>
      <c r="D35" s="39" t="s">
        <v>40</v>
      </c>
      <c r="E35" s="66">
        <v>7</v>
      </c>
      <c r="F35" s="41"/>
      <c r="G35" s="37" t="s">
        <v>41</v>
      </c>
      <c r="H35" s="42">
        <v>5600</v>
      </c>
      <c r="I35" s="38">
        <f t="shared" si="0"/>
        <v>3452.0828000000001</v>
      </c>
      <c r="J35" s="43">
        <f t="shared" si="7"/>
        <v>3453.956714285715</v>
      </c>
      <c r="K35" s="43">
        <f t="shared" si="8"/>
        <v>2147.9171999999999</v>
      </c>
      <c r="L35" s="43">
        <f t="shared" si="9"/>
        <v>2146.043285714285</v>
      </c>
      <c r="M35" s="43">
        <f t="shared" si="1"/>
        <v>0.61677798469387768</v>
      </c>
      <c r="N35" s="43">
        <f t="shared" si="10"/>
        <v>0.61644335714285714</v>
      </c>
      <c r="O35" s="44">
        <f t="shared" si="2"/>
        <v>-5.4254133468564509E-4</v>
      </c>
      <c r="P35" s="45">
        <v>2026</v>
      </c>
      <c r="Q35" s="45"/>
      <c r="R35" s="45">
        <v>0</v>
      </c>
      <c r="S35" s="45">
        <v>0</v>
      </c>
      <c r="T35" s="45">
        <v>3118</v>
      </c>
      <c r="U35" s="45">
        <v>4743</v>
      </c>
      <c r="V35" s="45">
        <f>3143+3205</f>
        <v>6348</v>
      </c>
      <c r="W35" s="45">
        <v>0</v>
      </c>
      <c r="X35" s="45">
        <v>8.4</v>
      </c>
      <c r="Y35" s="45">
        <v>0</v>
      </c>
      <c r="Z35" s="45">
        <v>0</v>
      </c>
      <c r="AA35" s="45">
        <v>0</v>
      </c>
      <c r="AB35" s="45">
        <v>1247</v>
      </c>
      <c r="AC35" s="46">
        <f>IFERROR(AD35/E35,0)</f>
        <v>3453.956714285715</v>
      </c>
      <c r="AD35" s="47">
        <f t="shared" si="3"/>
        <v>24177.697000000004</v>
      </c>
      <c r="AE35" s="48">
        <v>224</v>
      </c>
      <c r="AF35" s="49"/>
      <c r="AG35" s="50">
        <v>96</v>
      </c>
      <c r="AH35" s="51"/>
      <c r="AI35" s="50">
        <v>495</v>
      </c>
      <c r="AJ35" s="50">
        <v>740</v>
      </c>
      <c r="AK35" s="50">
        <v>800</v>
      </c>
      <c r="AL35" s="46"/>
      <c r="AM35" s="38"/>
      <c r="AN35" s="52"/>
      <c r="AO35" s="50">
        <v>2.2400000000000002</v>
      </c>
      <c r="AP35" s="46"/>
      <c r="AQ35" s="52">
        <v>155</v>
      </c>
      <c r="AR35" s="53">
        <f t="shared" si="4"/>
        <v>3452.0828000000001</v>
      </c>
      <c r="AS35" s="54">
        <f>AR35*E35</f>
        <v>24164.579600000001</v>
      </c>
      <c r="AT35" s="43">
        <f t="shared" si="5"/>
        <v>-1.8739142857148181</v>
      </c>
      <c r="AU35" s="41">
        <f>IFERROR(AT35*E35,0)</f>
        <v>-13.117400000003727</v>
      </c>
      <c r="AV35" s="38" t="str">
        <f>D35</f>
        <v>M25</v>
      </c>
      <c r="AW35" s="38">
        <f>P35/E35</f>
        <v>289.42857142857144</v>
      </c>
      <c r="AX35" s="38">
        <f>Q35/E35</f>
        <v>0</v>
      </c>
      <c r="AY35" s="38">
        <f>R35/E35</f>
        <v>0</v>
      </c>
      <c r="AZ35" s="38">
        <f>S35/E35</f>
        <v>0</v>
      </c>
      <c r="BA35" s="38">
        <f>T35/E35</f>
        <v>445.42857142857144</v>
      </c>
      <c r="BB35" s="38">
        <f>U35/E35</f>
        <v>677.57142857142856</v>
      </c>
      <c r="BC35" s="38">
        <f>V35/E35</f>
        <v>906.85714285714289</v>
      </c>
      <c r="BD35" s="38"/>
      <c r="BE35" s="38">
        <f>X35/E35</f>
        <v>1.2</v>
      </c>
      <c r="BF35" s="38">
        <f>Y35/E35</f>
        <v>0</v>
      </c>
      <c r="BG35" s="38">
        <f>AB35/E35</f>
        <v>178.14285714285714</v>
      </c>
      <c r="BH35" s="55">
        <f>Z35/E35</f>
        <v>0</v>
      </c>
      <c r="BI35" s="38"/>
      <c r="BJ35" s="38">
        <f t="shared" si="6"/>
        <v>2498.6285714285718</v>
      </c>
    </row>
    <row r="36" spans="1:62" ht="18.75">
      <c r="A36" s="36">
        <v>45721</v>
      </c>
      <c r="B36" s="37" t="s">
        <v>45</v>
      </c>
      <c r="C36" s="38"/>
      <c r="D36" s="39" t="s">
        <v>43</v>
      </c>
      <c r="E36" s="66">
        <v>6</v>
      </c>
      <c r="F36" s="41"/>
      <c r="G36" s="37" t="s">
        <v>46</v>
      </c>
      <c r="H36" s="42">
        <v>6000</v>
      </c>
      <c r="I36" s="38">
        <f t="shared" si="0"/>
        <v>4033.4050000000002</v>
      </c>
      <c r="J36" s="43">
        <f>AC36</f>
        <v>3652.0183000000002</v>
      </c>
      <c r="K36" s="43">
        <f t="shared" si="8"/>
        <v>1966.5949999999998</v>
      </c>
      <c r="L36" s="43">
        <f t="shared" si="9"/>
        <v>2347.9816999999998</v>
      </c>
      <c r="M36" s="43">
        <f t="shared" si="1"/>
        <v>0.60866971666666669</v>
      </c>
      <c r="N36" s="43">
        <f t="shared" si="10"/>
        <v>0.67223416666666669</v>
      </c>
      <c r="O36" s="44">
        <f t="shared" si="2"/>
        <v>0.10443176037754245</v>
      </c>
      <c r="P36" s="45">
        <v>1976</v>
      </c>
      <c r="Q36" s="45"/>
      <c r="R36" s="62"/>
      <c r="S36" s="62"/>
      <c r="T36" s="45">
        <v>2743</v>
      </c>
      <c r="U36" s="45">
        <v>4055</v>
      </c>
      <c r="V36" s="45">
        <f>2615+2576</f>
        <v>5191</v>
      </c>
      <c r="W36" s="45"/>
      <c r="X36" s="45">
        <v>9.64</v>
      </c>
      <c r="Y36" s="45"/>
      <c r="Z36" s="45"/>
      <c r="AA36" s="45"/>
      <c r="AB36" s="45">
        <v>1068</v>
      </c>
      <c r="AC36" s="46">
        <f>IFERROR(AD36/E36,0)</f>
        <v>3652.0183000000002</v>
      </c>
      <c r="AD36" s="47">
        <f t="shared" si="3"/>
        <v>21912.109800000002</v>
      </c>
      <c r="AE36" s="48">
        <v>380</v>
      </c>
      <c r="AF36" s="49"/>
      <c r="AG36" s="50">
        <v>0</v>
      </c>
      <c r="AH36" s="51"/>
      <c r="AI36" s="50">
        <v>495</v>
      </c>
      <c r="AJ36" s="50">
        <v>745</v>
      </c>
      <c r="AK36" s="50">
        <f>380+380</f>
        <v>760</v>
      </c>
      <c r="AL36" s="46"/>
      <c r="AM36" s="38"/>
      <c r="AN36" s="52">
        <v>2.4700000000000002</v>
      </c>
      <c r="AO36" s="50"/>
      <c r="AP36" s="46"/>
      <c r="AQ36" s="52">
        <v>144</v>
      </c>
      <c r="AR36" s="53">
        <f t="shared" si="4"/>
        <v>4033.4050000000002</v>
      </c>
      <c r="AS36" s="54">
        <f>AR36*E36</f>
        <v>24200.43</v>
      </c>
      <c r="AT36" s="43">
        <f t="shared" si="5"/>
        <v>381.38670000000002</v>
      </c>
      <c r="AU36" s="41">
        <f>IFERROR(AT36*E36,0)</f>
        <v>2288.3202000000001</v>
      </c>
      <c r="AV36" s="38" t="str">
        <f>D36</f>
        <v>M30</v>
      </c>
      <c r="AW36" s="38">
        <f>P36/E36</f>
        <v>329.33333333333331</v>
      </c>
      <c r="AX36" s="38">
        <f>Q36/E36</f>
        <v>0</v>
      </c>
      <c r="AY36" s="38">
        <f>R36/E36</f>
        <v>0</v>
      </c>
      <c r="AZ36" s="38">
        <f>S36/E36</f>
        <v>0</v>
      </c>
      <c r="BA36" s="38">
        <f>T36/E36</f>
        <v>457.16666666666669</v>
      </c>
      <c r="BB36" s="38">
        <f>U36/E36</f>
        <v>675.83333333333337</v>
      </c>
      <c r="BC36" s="38">
        <f>V36/E36</f>
        <v>865.16666666666663</v>
      </c>
      <c r="BD36" s="38"/>
      <c r="BE36" s="38">
        <f>X36/E36</f>
        <v>1.6066666666666667</v>
      </c>
      <c r="BF36" s="38">
        <f>Y36/E36</f>
        <v>0</v>
      </c>
      <c r="BG36" s="38">
        <f>AB36/E36</f>
        <v>178</v>
      </c>
      <c r="BH36" s="55">
        <f>Z36/E36</f>
        <v>0</v>
      </c>
      <c r="BI36" s="38"/>
      <c r="BJ36" s="38">
        <f t="shared" si="6"/>
        <v>2507.1066666666666</v>
      </c>
    </row>
    <row r="37" spans="1:62" ht="18.75">
      <c r="A37" s="36">
        <v>45721</v>
      </c>
      <c r="B37" s="37" t="s">
        <v>45</v>
      </c>
      <c r="C37" s="38"/>
      <c r="D37" s="39" t="s">
        <v>43</v>
      </c>
      <c r="E37" s="66">
        <v>16</v>
      </c>
      <c r="F37" s="41"/>
      <c r="G37" s="37" t="s">
        <v>46</v>
      </c>
      <c r="H37" s="42">
        <v>6000</v>
      </c>
      <c r="I37" s="38">
        <f t="shared" si="0"/>
        <v>4033.4050000000002</v>
      </c>
      <c r="J37" s="43">
        <f t="shared" si="7"/>
        <v>3541.7593500000003</v>
      </c>
      <c r="K37" s="43">
        <f t="shared" si="8"/>
        <v>1966.5949999999998</v>
      </c>
      <c r="L37" s="43">
        <f t="shared" si="9"/>
        <v>2458.2406499999997</v>
      </c>
      <c r="M37" s="43">
        <f t="shared" si="1"/>
        <v>0.59029322500000003</v>
      </c>
      <c r="N37" s="43">
        <f t="shared" si="10"/>
        <v>0.67223416666666669</v>
      </c>
      <c r="O37" s="44">
        <f t="shared" si="2"/>
        <v>0.13881396261437126</v>
      </c>
      <c r="P37" s="45">
        <v>3998</v>
      </c>
      <c r="Q37" s="45">
        <v>1778</v>
      </c>
      <c r="R37" s="62"/>
      <c r="S37" s="62"/>
      <c r="T37" s="45">
        <v>7663</v>
      </c>
      <c r="U37" s="45">
        <v>11395</v>
      </c>
      <c r="V37" s="45">
        <f>6202+6169</f>
        <v>12371</v>
      </c>
      <c r="W37" s="45"/>
      <c r="X37" s="45">
        <v>25.18</v>
      </c>
      <c r="Y37" s="45"/>
      <c r="Z37" s="45"/>
      <c r="AA37" s="45"/>
      <c r="AB37" s="45">
        <v>2732</v>
      </c>
      <c r="AC37" s="46">
        <f>IFERROR(AD37/E37,0)</f>
        <v>3541.7593500000003</v>
      </c>
      <c r="AD37" s="47">
        <f t="shared" si="3"/>
        <v>56668.149600000004</v>
      </c>
      <c r="AE37" s="48">
        <v>380</v>
      </c>
      <c r="AF37" s="49"/>
      <c r="AG37" s="50">
        <v>0</v>
      </c>
      <c r="AH37" s="51"/>
      <c r="AI37" s="50">
        <v>495</v>
      </c>
      <c r="AJ37" s="50">
        <v>745</v>
      </c>
      <c r="AK37" s="50">
        <f>380+380</f>
        <v>760</v>
      </c>
      <c r="AL37" s="46"/>
      <c r="AM37" s="38"/>
      <c r="AN37" s="52">
        <v>2.4700000000000002</v>
      </c>
      <c r="AO37" s="50"/>
      <c r="AP37" s="46"/>
      <c r="AQ37" s="52">
        <v>144</v>
      </c>
      <c r="AR37" s="53">
        <f t="shared" si="4"/>
        <v>4033.4050000000002</v>
      </c>
      <c r="AS37" s="54">
        <f>AR37*E37</f>
        <v>64534.48</v>
      </c>
      <c r="AT37" s="43">
        <f t="shared" si="5"/>
        <v>491.64564999999993</v>
      </c>
      <c r="AU37" s="41">
        <f>IFERROR(AT37*E37,0)</f>
        <v>7866.3303999999989</v>
      </c>
      <c r="AV37" s="38" t="str">
        <f>D37</f>
        <v>M30</v>
      </c>
      <c r="AW37" s="38">
        <f>P37/E37</f>
        <v>249.875</v>
      </c>
      <c r="AX37" s="38">
        <f>Q37/E37</f>
        <v>111.125</v>
      </c>
      <c r="AY37" s="38">
        <f>R37/E37</f>
        <v>0</v>
      </c>
      <c r="AZ37" s="38">
        <f>S37/E37</f>
        <v>0</v>
      </c>
      <c r="BA37" s="38">
        <f>T37/E37</f>
        <v>478.9375</v>
      </c>
      <c r="BB37" s="38">
        <f>U37/E37</f>
        <v>712.1875</v>
      </c>
      <c r="BC37" s="38">
        <f>V37/E37</f>
        <v>773.1875</v>
      </c>
      <c r="BD37" s="38"/>
      <c r="BE37" s="38">
        <f>X37/E37</f>
        <v>1.57375</v>
      </c>
      <c r="BF37" s="38">
        <f>Y37/E37</f>
        <v>0</v>
      </c>
      <c r="BG37" s="38">
        <f>AB37/E37</f>
        <v>170.75</v>
      </c>
      <c r="BH37" s="55">
        <f>Z37/E37</f>
        <v>0</v>
      </c>
      <c r="BI37" s="38"/>
      <c r="BJ37" s="38">
        <f t="shared" si="6"/>
        <v>2497.63625</v>
      </c>
    </row>
    <row r="38" spans="1:62" ht="18.75">
      <c r="A38" s="36">
        <v>45721</v>
      </c>
      <c r="B38" s="37" t="s">
        <v>36</v>
      </c>
      <c r="C38" s="38"/>
      <c r="D38" s="39" t="s">
        <v>43</v>
      </c>
      <c r="E38" s="66">
        <v>50</v>
      </c>
      <c r="F38" s="41"/>
      <c r="G38" s="37" t="s">
        <v>59</v>
      </c>
      <c r="H38" s="42">
        <v>5800</v>
      </c>
      <c r="I38" s="38">
        <f t="shared" si="0"/>
        <v>3707.0834</v>
      </c>
      <c r="J38" s="43">
        <f t="shared" si="7"/>
        <v>3303.9738279999997</v>
      </c>
      <c r="K38" s="43">
        <f t="shared" si="8"/>
        <v>2092.9166</v>
      </c>
      <c r="L38" s="43">
        <f t="shared" si="9"/>
        <v>2496.0261720000003</v>
      </c>
      <c r="M38" s="43">
        <f t="shared" si="1"/>
        <v>0.56965065999999998</v>
      </c>
      <c r="N38" s="43">
        <f t="shared" si="10"/>
        <v>0.63915231034482756</v>
      </c>
      <c r="O38" s="44">
        <f t="shared" si="2"/>
        <v>0.12200749551458008</v>
      </c>
      <c r="P38" s="45">
        <v>7202</v>
      </c>
      <c r="Q38" s="45">
        <v>10832</v>
      </c>
      <c r="R38" s="62"/>
      <c r="S38" s="62"/>
      <c r="T38" s="45">
        <v>23796</v>
      </c>
      <c r="U38" s="45">
        <v>35090</v>
      </c>
      <c r="V38" s="45">
        <f>19790+19670</f>
        <v>39460</v>
      </c>
      <c r="W38" s="45"/>
      <c r="X38" s="45">
        <v>69.819999999999993</v>
      </c>
      <c r="Y38" s="45"/>
      <c r="Z38" s="45"/>
      <c r="AA38" s="45"/>
      <c r="AB38" s="45">
        <v>8533</v>
      </c>
      <c r="AC38" s="46">
        <f>IFERROR(AD38/E38,0)</f>
        <v>3303.9738279999997</v>
      </c>
      <c r="AD38" s="47">
        <f t="shared" si="3"/>
        <v>165198.69139999998</v>
      </c>
      <c r="AE38" s="48">
        <v>288</v>
      </c>
      <c r="AF38" s="49"/>
      <c r="AG38" s="50">
        <v>72</v>
      </c>
      <c r="AH38" s="51"/>
      <c r="AI38" s="50">
        <v>495</v>
      </c>
      <c r="AJ38" s="50">
        <v>743</v>
      </c>
      <c r="AK38" s="50">
        <v>775</v>
      </c>
      <c r="AL38" s="46"/>
      <c r="AM38" s="38"/>
      <c r="AN38" s="52"/>
      <c r="AO38" s="50">
        <v>2.52</v>
      </c>
      <c r="AP38" s="46"/>
      <c r="AQ38" s="52">
        <v>160</v>
      </c>
      <c r="AR38" s="53">
        <f t="shared" si="4"/>
        <v>3707.0834</v>
      </c>
      <c r="AS38" s="54">
        <f>AR38*E38</f>
        <v>185354.17</v>
      </c>
      <c r="AT38" s="43">
        <f t="shared" si="5"/>
        <v>403.1095720000003</v>
      </c>
      <c r="AU38" s="41">
        <f>IFERROR(AT38*E38,0)</f>
        <v>20155.478600000017</v>
      </c>
      <c r="AV38" s="38" t="str">
        <f>D38</f>
        <v>M30</v>
      </c>
      <c r="AW38" s="38">
        <f>P38/E38</f>
        <v>144.04</v>
      </c>
      <c r="AX38" s="38">
        <f>Q38/E38</f>
        <v>216.64</v>
      </c>
      <c r="AY38" s="38">
        <f>R38/E38</f>
        <v>0</v>
      </c>
      <c r="AZ38" s="38">
        <f>S38/E38</f>
        <v>0</v>
      </c>
      <c r="BA38" s="38">
        <f>T38/E38</f>
        <v>475.92</v>
      </c>
      <c r="BB38" s="38">
        <f>U38/E38</f>
        <v>701.8</v>
      </c>
      <c r="BC38" s="38">
        <f>V38/E38</f>
        <v>789.2</v>
      </c>
      <c r="BD38" s="38"/>
      <c r="BE38" s="38">
        <f>X38/E38</f>
        <v>1.3963999999999999</v>
      </c>
      <c r="BF38" s="38">
        <f>Y38/E38</f>
        <v>0</v>
      </c>
      <c r="BG38" s="38">
        <f>AB38/E38</f>
        <v>170.66</v>
      </c>
      <c r="BH38" s="55">
        <f>Z38/E38</f>
        <v>0</v>
      </c>
      <c r="BI38" s="38"/>
      <c r="BJ38" s="38">
        <f t="shared" si="6"/>
        <v>2499.6563999999998</v>
      </c>
    </row>
    <row r="39" spans="1:62" ht="18.75">
      <c r="A39" s="36">
        <v>45721</v>
      </c>
      <c r="B39" s="37" t="s">
        <v>54</v>
      </c>
      <c r="C39" s="38"/>
      <c r="D39" s="39" t="s">
        <v>66</v>
      </c>
      <c r="E39" s="40">
        <v>8.5</v>
      </c>
      <c r="F39" s="41"/>
      <c r="G39" s="37" t="s">
        <v>67</v>
      </c>
      <c r="H39" s="42">
        <v>6000</v>
      </c>
      <c r="I39" s="38">
        <f t="shared" si="0"/>
        <v>3804.0542</v>
      </c>
      <c r="J39" s="43">
        <f t="shared" si="7"/>
        <v>3516.1911764705883</v>
      </c>
      <c r="K39" s="43">
        <f t="shared" si="8"/>
        <v>2195.9458</v>
      </c>
      <c r="L39" s="43">
        <f t="shared" si="9"/>
        <v>2483.8088235294117</v>
      </c>
      <c r="M39" s="43">
        <f t="shared" si="1"/>
        <v>0.586031862745098</v>
      </c>
      <c r="N39" s="43">
        <f t="shared" si="10"/>
        <v>0.63400903333333336</v>
      </c>
      <c r="O39" s="44">
        <f t="shared" si="2"/>
        <v>8.1867853333946861E-2</v>
      </c>
      <c r="P39" s="45">
        <v>1615</v>
      </c>
      <c r="Q39" s="45">
        <v>1629</v>
      </c>
      <c r="R39" s="62"/>
      <c r="S39" s="62"/>
      <c r="T39" s="45">
        <v>4210</v>
      </c>
      <c r="U39" s="45">
        <v>6313</v>
      </c>
      <c r="V39" s="45">
        <f>3249+3210</f>
        <v>6459</v>
      </c>
      <c r="W39" s="45"/>
      <c r="X39" s="45">
        <v>15.3</v>
      </c>
      <c r="Y39" s="45"/>
      <c r="Z39" s="45"/>
      <c r="AA39" s="45"/>
      <c r="AB39" s="45">
        <v>1577</v>
      </c>
      <c r="AC39" s="46">
        <f>IFERROR(AD39/E39,0)</f>
        <v>3516.1911764705883</v>
      </c>
      <c r="AD39" s="47">
        <f t="shared" si="3"/>
        <v>29887.625</v>
      </c>
      <c r="AE39" s="48">
        <v>290</v>
      </c>
      <c r="AF39" s="49"/>
      <c r="AG39" s="50">
        <v>120</v>
      </c>
      <c r="AH39" s="51"/>
      <c r="AI39" s="50">
        <v>490</v>
      </c>
      <c r="AJ39" s="50">
        <v>740</v>
      </c>
      <c r="AK39" s="50">
        <v>720</v>
      </c>
      <c r="AL39" s="46"/>
      <c r="AM39" s="38"/>
      <c r="AN39" s="52"/>
      <c r="AO39" s="50">
        <v>2.46</v>
      </c>
      <c r="AP39" s="46"/>
      <c r="AQ39" s="52">
        <v>160</v>
      </c>
      <c r="AR39" s="53">
        <f t="shared" si="4"/>
        <v>3804.0542</v>
      </c>
      <c r="AS39" s="54">
        <f>AR39*E39</f>
        <v>32334.4607</v>
      </c>
      <c r="AT39" s="43">
        <f t="shared" si="5"/>
        <v>287.86302352941175</v>
      </c>
      <c r="AU39" s="41">
        <f>IFERROR(AT39*E39,0)</f>
        <v>2446.8356999999996</v>
      </c>
      <c r="AV39" s="38" t="str">
        <f>D39</f>
        <v>M35</v>
      </c>
      <c r="AW39" s="38">
        <f>P39/E39</f>
        <v>190</v>
      </c>
      <c r="AX39" s="38">
        <f>Q39/E39</f>
        <v>191.64705882352942</v>
      </c>
      <c r="AY39" s="38">
        <f>R39/E39</f>
        <v>0</v>
      </c>
      <c r="AZ39" s="38">
        <f>S39/E39</f>
        <v>0</v>
      </c>
      <c r="BA39" s="38">
        <f>T39/E39</f>
        <v>495.29411764705884</v>
      </c>
      <c r="BB39" s="38">
        <f>U39/E39</f>
        <v>742.70588235294122</v>
      </c>
      <c r="BC39" s="38">
        <f>V39/E39</f>
        <v>759.88235294117646</v>
      </c>
      <c r="BD39" s="38"/>
      <c r="BE39" s="38">
        <f>X39/E39</f>
        <v>1.8</v>
      </c>
      <c r="BF39" s="38">
        <f>Y39/E39</f>
        <v>0</v>
      </c>
      <c r="BG39" s="38">
        <f>AB39/E39</f>
        <v>185.52941176470588</v>
      </c>
      <c r="BH39" s="55">
        <f>Z39/E39</f>
        <v>0</v>
      </c>
      <c r="BI39" s="38"/>
      <c r="BJ39" s="38">
        <f t="shared" si="6"/>
        <v>2566.8588235294119</v>
      </c>
    </row>
    <row r="40" spans="1:62" ht="18.75">
      <c r="A40" s="36">
        <v>45722</v>
      </c>
      <c r="B40" s="37" t="s">
        <v>68</v>
      </c>
      <c r="C40" s="38"/>
      <c r="D40" s="39" t="s">
        <v>31</v>
      </c>
      <c r="E40" s="66">
        <v>8.5</v>
      </c>
      <c r="F40" s="41"/>
      <c r="G40" s="37" t="s">
        <v>32</v>
      </c>
      <c r="H40" s="42">
        <v>5300</v>
      </c>
      <c r="I40" s="38">
        <f t="shared" si="0"/>
        <v>3003.4838000000004</v>
      </c>
      <c r="J40" s="43">
        <f t="shared" si="7"/>
        <v>2651.4432615384612</v>
      </c>
      <c r="K40" s="43">
        <f t="shared" si="8"/>
        <v>2296.5161999999996</v>
      </c>
      <c r="L40" s="43">
        <f t="shared" si="9"/>
        <v>2648.5567384615388</v>
      </c>
      <c r="M40" s="43">
        <f t="shared" si="1"/>
        <v>0.50027231349782286</v>
      </c>
      <c r="N40" s="43">
        <f t="shared" si="10"/>
        <v>0.56669505660377362</v>
      </c>
      <c r="O40" s="44">
        <f t="shared" si="2"/>
        <v>0.13277317435684918</v>
      </c>
      <c r="P40" s="45">
        <v>515.66666666666663</v>
      </c>
      <c r="Q40" s="45">
        <v>856.53846153846155</v>
      </c>
      <c r="R40" s="62"/>
      <c r="S40" s="62"/>
      <c r="T40" s="45">
        <v>3672</v>
      </c>
      <c r="U40" s="45">
        <v>5624.8205128205127</v>
      </c>
      <c r="V40" s="45">
        <v>8924.5641025641035</v>
      </c>
      <c r="W40" s="45"/>
      <c r="X40" s="45">
        <v>7.2271794871794866</v>
      </c>
      <c r="Y40" s="45"/>
      <c r="Z40" s="45"/>
      <c r="AA40" s="45"/>
      <c r="AB40" s="45">
        <v>1540.8974358974358</v>
      </c>
      <c r="AC40" s="46">
        <f>IFERROR(AD40/E40,0)</f>
        <v>2651.4432615384612</v>
      </c>
      <c r="AD40" s="47">
        <f t="shared" si="3"/>
        <v>22537.267723076922</v>
      </c>
      <c r="AE40" s="48">
        <v>154</v>
      </c>
      <c r="AF40" s="49"/>
      <c r="AG40" s="50">
        <v>66</v>
      </c>
      <c r="AH40" s="51"/>
      <c r="AI40" s="50">
        <v>480</v>
      </c>
      <c r="AJ40" s="50">
        <v>700</v>
      </c>
      <c r="AK40" s="50">
        <f>450+450</f>
        <v>900</v>
      </c>
      <c r="AL40" s="46"/>
      <c r="AM40" s="38"/>
      <c r="AN40" s="52"/>
      <c r="AO40" s="50">
        <v>1.54</v>
      </c>
      <c r="AP40" s="46"/>
      <c r="AQ40" s="52">
        <v>154</v>
      </c>
      <c r="AR40" s="53">
        <f t="shared" si="4"/>
        <v>3003.4838000000004</v>
      </c>
      <c r="AS40" s="54">
        <f>AR40*E40</f>
        <v>25529.612300000004</v>
      </c>
      <c r="AT40" s="43">
        <f t="shared" si="5"/>
        <v>352.0405384615392</v>
      </c>
      <c r="AU40" s="41">
        <f>IFERROR(AT40*E40,0)</f>
        <v>2992.344576923083</v>
      </c>
      <c r="AV40" s="38" t="str">
        <f>D40</f>
        <v>M10</v>
      </c>
      <c r="AW40" s="38">
        <f>P40/E40</f>
        <v>60.666666666666664</v>
      </c>
      <c r="AX40" s="38">
        <f>Q40/E40</f>
        <v>100.76923076923077</v>
      </c>
      <c r="AY40" s="38">
        <f>R40/E40</f>
        <v>0</v>
      </c>
      <c r="AZ40" s="38">
        <f>S40/E40</f>
        <v>0</v>
      </c>
      <c r="BA40" s="38">
        <f>T40/E40</f>
        <v>432</v>
      </c>
      <c r="BB40" s="38">
        <f>U40/E40</f>
        <v>661.74358974358972</v>
      </c>
      <c r="BC40" s="38">
        <f>V40/E40</f>
        <v>1049.948717948718</v>
      </c>
      <c r="BD40" s="38"/>
      <c r="BE40" s="38">
        <f>X40/E40</f>
        <v>0.85025641025641019</v>
      </c>
      <c r="BF40" s="38">
        <f>Y40/E40</f>
        <v>0</v>
      </c>
      <c r="BG40" s="38">
        <f>AB40/E40</f>
        <v>181.28205128205127</v>
      </c>
      <c r="BH40" s="55">
        <f>Z40/E40</f>
        <v>0</v>
      </c>
      <c r="BI40" s="38"/>
      <c r="BJ40" s="38">
        <f>SUM(AW40:BI40)</f>
        <v>2487.2605128205128</v>
      </c>
    </row>
    <row r="41" spans="1:62" ht="18.75">
      <c r="A41" s="36">
        <v>45722</v>
      </c>
      <c r="B41" s="37" t="s">
        <v>30</v>
      </c>
      <c r="C41" s="38"/>
      <c r="D41" s="39" t="s">
        <v>31</v>
      </c>
      <c r="E41" s="40">
        <v>11</v>
      </c>
      <c r="F41" s="41"/>
      <c r="G41" s="37" t="s">
        <v>32</v>
      </c>
      <c r="H41" s="42">
        <v>5400</v>
      </c>
      <c r="I41" s="38">
        <f t="shared" si="0"/>
        <v>3003.4838000000004</v>
      </c>
      <c r="J41" s="43">
        <f t="shared" si="7"/>
        <v>2651.4432615384617</v>
      </c>
      <c r="K41" s="43">
        <f t="shared" si="8"/>
        <v>2396.5161999999996</v>
      </c>
      <c r="L41" s="43">
        <f t="shared" si="9"/>
        <v>2748.5567384615383</v>
      </c>
      <c r="M41" s="43">
        <f t="shared" si="1"/>
        <v>0.49100801139601141</v>
      </c>
      <c r="N41" s="43">
        <f t="shared" si="10"/>
        <v>0.55620070370370378</v>
      </c>
      <c r="O41" s="44">
        <f t="shared" si="2"/>
        <v>0.1327731743568491</v>
      </c>
      <c r="P41" s="45">
        <v>667.33333333333326</v>
      </c>
      <c r="Q41" s="45">
        <v>1108.4615384615386</v>
      </c>
      <c r="R41" s="62"/>
      <c r="S41" s="62"/>
      <c r="T41" s="45">
        <v>4752</v>
      </c>
      <c r="U41" s="45">
        <v>7279.1794871794873</v>
      </c>
      <c r="V41" s="45">
        <v>11549.435897435898</v>
      </c>
      <c r="W41" s="45"/>
      <c r="X41" s="45">
        <v>9.3528205128205126</v>
      </c>
      <c r="Y41" s="45"/>
      <c r="Z41" s="45"/>
      <c r="AA41" s="45"/>
      <c r="AB41" s="45">
        <v>1994.102564102564</v>
      </c>
      <c r="AC41" s="46">
        <f>IFERROR(AD41/E41,0)</f>
        <v>2651.4432615384617</v>
      </c>
      <c r="AD41" s="47">
        <f t="shared" si="3"/>
        <v>29165.875876923081</v>
      </c>
      <c r="AE41" s="48">
        <v>154</v>
      </c>
      <c r="AF41" s="49"/>
      <c r="AG41" s="50">
        <v>66</v>
      </c>
      <c r="AH41" s="51"/>
      <c r="AI41" s="50">
        <v>480</v>
      </c>
      <c r="AJ41" s="50">
        <v>700</v>
      </c>
      <c r="AK41" s="50">
        <f>450+450</f>
        <v>900</v>
      </c>
      <c r="AL41" s="46"/>
      <c r="AM41" s="38"/>
      <c r="AN41" s="52"/>
      <c r="AO41" s="50">
        <v>1.54</v>
      </c>
      <c r="AP41" s="46"/>
      <c r="AQ41" s="52">
        <v>154</v>
      </c>
      <c r="AR41" s="53">
        <f t="shared" si="4"/>
        <v>3003.4838000000004</v>
      </c>
      <c r="AS41" s="54">
        <f>AR41*E41</f>
        <v>33038.321800000005</v>
      </c>
      <c r="AT41" s="43">
        <f t="shared" si="5"/>
        <v>352.04053846153874</v>
      </c>
      <c r="AU41" s="41">
        <f>IFERROR(AT41*E41,0)</f>
        <v>3872.4459230769262</v>
      </c>
      <c r="AV41" s="38" t="str">
        <f>D41</f>
        <v>M10</v>
      </c>
      <c r="AW41" s="38">
        <f>P41/E41</f>
        <v>60.666666666666657</v>
      </c>
      <c r="AX41" s="38">
        <f>Q41/E41</f>
        <v>100.76923076923077</v>
      </c>
      <c r="AY41" s="38">
        <f>R41/E41</f>
        <v>0</v>
      </c>
      <c r="AZ41" s="38">
        <f>S41/E41</f>
        <v>0</v>
      </c>
      <c r="BA41" s="38">
        <f>T41/E41</f>
        <v>432</v>
      </c>
      <c r="BB41" s="38">
        <f>U41/E41</f>
        <v>661.74358974358972</v>
      </c>
      <c r="BC41" s="38">
        <f>V41/E41</f>
        <v>1049.948717948718</v>
      </c>
      <c r="BD41" s="38"/>
      <c r="BE41" s="38">
        <f>X41/E41</f>
        <v>0.85025641025641019</v>
      </c>
      <c r="BF41" s="38">
        <f>Y41/E41</f>
        <v>0</v>
      </c>
      <c r="BG41" s="38">
        <f>AB41/E41</f>
        <v>181.28205128205127</v>
      </c>
      <c r="BH41" s="55">
        <f>Z41/E41</f>
        <v>0</v>
      </c>
      <c r="BI41" s="38"/>
      <c r="BJ41" s="38">
        <f>SUM(AW41:BI41)</f>
        <v>2487.2605128205128</v>
      </c>
    </row>
    <row r="42" spans="1:62" ht="18.75">
      <c r="A42" s="36">
        <v>45722</v>
      </c>
      <c r="B42" s="37" t="s">
        <v>45</v>
      </c>
      <c r="C42" s="38"/>
      <c r="D42" s="39" t="s">
        <v>34</v>
      </c>
      <c r="E42" s="66">
        <v>44</v>
      </c>
      <c r="F42" s="41"/>
      <c r="G42" s="37" t="s">
        <v>69</v>
      </c>
      <c r="H42" s="42">
        <v>5400</v>
      </c>
      <c r="I42" s="38">
        <f t="shared" si="0"/>
        <v>3440.3942000000006</v>
      </c>
      <c r="J42" s="43">
        <f t="shared" si="7"/>
        <v>3072.1359613636364</v>
      </c>
      <c r="K42" s="43">
        <f t="shared" si="8"/>
        <v>1959.6057999999994</v>
      </c>
      <c r="L42" s="43">
        <f t="shared" si="9"/>
        <v>2327.8640386363636</v>
      </c>
      <c r="M42" s="43">
        <f t="shared" si="1"/>
        <v>0.56891406691919189</v>
      </c>
      <c r="N42" s="43">
        <f t="shared" si="10"/>
        <v>0.63711003703703717</v>
      </c>
      <c r="O42" s="44">
        <f t="shared" si="2"/>
        <v>0.11987042346683931</v>
      </c>
      <c r="P42" s="45">
        <v>6133</v>
      </c>
      <c r="Q42" s="45">
        <v>6196</v>
      </c>
      <c r="R42" s="62"/>
      <c r="S42" s="62"/>
      <c r="T42" s="45">
        <v>20540</v>
      </c>
      <c r="U42" s="45">
        <v>29502</v>
      </c>
      <c r="V42" s="45">
        <v>38386</v>
      </c>
      <c r="W42" s="45"/>
      <c r="X42" s="45">
        <v>45.190000000000005</v>
      </c>
      <c r="Y42" s="45"/>
      <c r="Z42" s="45"/>
      <c r="AA42" s="45"/>
      <c r="AB42" s="45">
        <v>8184</v>
      </c>
      <c r="AC42" s="46">
        <f>IFERROR(AD42/E42,0)</f>
        <v>3072.1359613636364</v>
      </c>
      <c r="AD42" s="47">
        <f t="shared" si="3"/>
        <v>135173.9823</v>
      </c>
      <c r="AE42" s="48">
        <v>280</v>
      </c>
      <c r="AF42" s="49"/>
      <c r="AG42" s="50">
        <v>0</v>
      </c>
      <c r="AH42" s="51"/>
      <c r="AI42" s="50">
        <v>480</v>
      </c>
      <c r="AJ42" s="50">
        <v>715</v>
      </c>
      <c r="AK42" s="50">
        <f>440+400</f>
        <v>840</v>
      </c>
      <c r="AL42" s="46"/>
      <c r="AM42" s="38"/>
      <c r="AN42" s="52"/>
      <c r="AO42" s="50">
        <v>1.96</v>
      </c>
      <c r="AP42" s="46"/>
      <c r="AQ42" s="52">
        <v>160</v>
      </c>
      <c r="AR42" s="53">
        <f t="shared" si="4"/>
        <v>3440.3942000000006</v>
      </c>
      <c r="AS42" s="54">
        <f>AR42*E42</f>
        <v>151377.34480000002</v>
      </c>
      <c r="AT42" s="43">
        <f t="shared" si="5"/>
        <v>368.25823863636424</v>
      </c>
      <c r="AU42" s="41">
        <f>IFERROR(AT42*E42,0)</f>
        <v>16203.362500000027</v>
      </c>
      <c r="AV42" s="38" t="str">
        <f>D42</f>
        <v>M15</v>
      </c>
      <c r="AW42" s="38">
        <f>P42/E42</f>
        <v>139.38636363636363</v>
      </c>
      <c r="AX42" s="38">
        <f>Q42/E42</f>
        <v>140.81818181818181</v>
      </c>
      <c r="AY42" s="38">
        <f>R42/E42</f>
        <v>0</v>
      </c>
      <c r="AZ42" s="38">
        <f>S42/E42</f>
        <v>0</v>
      </c>
      <c r="BA42" s="38">
        <f>T42/E42</f>
        <v>466.81818181818181</v>
      </c>
      <c r="BB42" s="38">
        <f>U42/E42</f>
        <v>670.5</v>
      </c>
      <c r="BC42" s="38">
        <f>V42/E42</f>
        <v>872.40909090909088</v>
      </c>
      <c r="BD42" s="38"/>
      <c r="BE42" s="38">
        <f>X42/E42</f>
        <v>1.0270454545454546</v>
      </c>
      <c r="BF42" s="38">
        <f>Y42/E42</f>
        <v>0</v>
      </c>
      <c r="BG42" s="38">
        <f>AB42/E42</f>
        <v>186</v>
      </c>
      <c r="BH42" s="55">
        <f>Z42/E42</f>
        <v>0</v>
      </c>
      <c r="BI42" s="38"/>
      <c r="BJ42" s="38">
        <f>SUM(AW42:BI42)</f>
        <v>2476.9588636363633</v>
      </c>
    </row>
    <row r="43" spans="1:62" ht="18.75">
      <c r="A43" s="36">
        <v>45722</v>
      </c>
      <c r="B43" s="37" t="s">
        <v>63</v>
      </c>
      <c r="C43" s="38"/>
      <c r="D43" s="39" t="s">
        <v>40</v>
      </c>
      <c r="E43" s="40">
        <v>12</v>
      </c>
      <c r="F43" s="41"/>
      <c r="G43" s="37" t="s">
        <v>64</v>
      </c>
      <c r="H43" s="42">
        <v>5700</v>
      </c>
      <c r="I43" s="38">
        <f t="shared" si="0"/>
        <v>3533.3622000000005</v>
      </c>
      <c r="J43" s="43">
        <f t="shared" si="7"/>
        <v>3253.2402416666669</v>
      </c>
      <c r="K43" s="43">
        <f t="shared" si="8"/>
        <v>2166.6377999999995</v>
      </c>
      <c r="L43" s="43">
        <f t="shared" si="9"/>
        <v>2446.7597583333331</v>
      </c>
      <c r="M43" s="43">
        <f t="shared" si="1"/>
        <v>0.57074390204678371</v>
      </c>
      <c r="N43" s="43">
        <f t="shared" si="10"/>
        <v>0.61988810526315796</v>
      </c>
      <c r="O43" s="44">
        <f t="shared" si="2"/>
        <v>8.6105524807422146E-2</v>
      </c>
      <c r="P43" s="45">
        <v>2001</v>
      </c>
      <c r="Q43" s="45">
        <v>1830</v>
      </c>
      <c r="R43" s="62"/>
      <c r="S43" s="62"/>
      <c r="T43" s="45">
        <v>5845</v>
      </c>
      <c r="U43" s="45">
        <v>8382</v>
      </c>
      <c r="V43" s="45">
        <v>9921</v>
      </c>
      <c r="W43" s="45"/>
      <c r="X43" s="45">
        <v>12.37</v>
      </c>
      <c r="Y43" s="45"/>
      <c r="Z43" s="45"/>
      <c r="AA43" s="45"/>
      <c r="AB43" s="45">
        <v>2142</v>
      </c>
      <c r="AC43" s="46">
        <f>IFERROR(AD43/E43,0)</f>
        <v>3253.2402416666669</v>
      </c>
      <c r="AD43" s="47">
        <f t="shared" si="3"/>
        <v>39038.882900000004</v>
      </c>
      <c r="AE43" s="48">
        <v>216</v>
      </c>
      <c r="AF43" s="49"/>
      <c r="AG43" s="50">
        <v>144</v>
      </c>
      <c r="AH43" s="51"/>
      <c r="AI43" s="50">
        <v>495</v>
      </c>
      <c r="AJ43" s="50">
        <v>743</v>
      </c>
      <c r="AK43" s="50">
        <v>775</v>
      </c>
      <c r="AL43" s="46"/>
      <c r="AM43" s="38"/>
      <c r="AN43" s="52"/>
      <c r="AO43" s="50">
        <v>2.16</v>
      </c>
      <c r="AP43" s="46"/>
      <c r="AQ43" s="52">
        <v>155</v>
      </c>
      <c r="AR43" s="53">
        <f t="shared" si="4"/>
        <v>3533.3622000000005</v>
      </c>
      <c r="AS43" s="54">
        <f>AR43*E43</f>
        <v>42400.346400000009</v>
      </c>
      <c r="AT43" s="43">
        <f t="shared" si="5"/>
        <v>280.12195833333362</v>
      </c>
      <c r="AU43" s="41">
        <f>IFERROR(AT43*E43,0)</f>
        <v>3361.4635000000035</v>
      </c>
      <c r="AV43" s="38" t="str">
        <f>D43</f>
        <v>M25</v>
      </c>
      <c r="AW43" s="38">
        <f>P43/E43</f>
        <v>166.75</v>
      </c>
      <c r="AX43" s="38">
        <f>Q43/E43</f>
        <v>152.5</v>
      </c>
      <c r="AY43" s="38">
        <f>R43/E43</f>
        <v>0</v>
      </c>
      <c r="AZ43" s="38">
        <f>S43/E43</f>
        <v>0</v>
      </c>
      <c r="BA43" s="38">
        <f>T43/E43</f>
        <v>487.08333333333331</v>
      </c>
      <c r="BB43" s="38">
        <f>U43/E43</f>
        <v>698.5</v>
      </c>
      <c r="BC43" s="38">
        <f>V43/E43</f>
        <v>826.75</v>
      </c>
      <c r="BD43" s="38"/>
      <c r="BE43" s="38">
        <f>X43/E43</f>
        <v>1.0308333333333333</v>
      </c>
      <c r="BF43" s="38">
        <f>Y43/E43</f>
        <v>0</v>
      </c>
      <c r="BG43" s="38">
        <f>AB43/E43</f>
        <v>178.5</v>
      </c>
      <c r="BH43" s="55">
        <f>Z43/E43</f>
        <v>0</v>
      </c>
      <c r="BI43" s="38"/>
      <c r="BJ43" s="38">
        <f t="shared" ref="BJ43:BJ100" si="12">SUM(AW43:BI43)</f>
        <v>2511.1141666666663</v>
      </c>
    </row>
    <row r="44" spans="1:62" ht="18.75">
      <c r="A44" s="36">
        <v>45722</v>
      </c>
      <c r="B44" s="37" t="s">
        <v>63</v>
      </c>
      <c r="C44" s="38"/>
      <c r="D44" s="39" t="s">
        <v>40</v>
      </c>
      <c r="E44" s="40">
        <v>6.5</v>
      </c>
      <c r="F44" s="41"/>
      <c r="G44" s="37" t="s">
        <v>64</v>
      </c>
      <c r="H44" s="42">
        <v>5700</v>
      </c>
      <c r="I44" s="38">
        <f t="shared" si="0"/>
        <v>3533.3622000000005</v>
      </c>
      <c r="J44" s="43">
        <f t="shared" si="7"/>
        <v>3136.431792592593</v>
      </c>
      <c r="K44" s="43">
        <f t="shared" si="8"/>
        <v>2166.6377999999995</v>
      </c>
      <c r="L44" s="43">
        <f t="shared" si="9"/>
        <v>2563.568207407407</v>
      </c>
      <c r="M44" s="43">
        <f t="shared" si="1"/>
        <v>0.55025119168291103</v>
      </c>
      <c r="N44" s="43">
        <f t="shared" si="10"/>
        <v>0.61988810526315796</v>
      </c>
      <c r="O44" s="44">
        <f t="shared" si="2"/>
        <v>0.12655477104423257</v>
      </c>
      <c r="P44" s="45">
        <v>728</v>
      </c>
      <c r="Q44" s="45">
        <v>1357.7777777777778</v>
      </c>
      <c r="R44" s="62"/>
      <c r="S44" s="62"/>
      <c r="T44" s="45">
        <v>2979.4074074074074</v>
      </c>
      <c r="U44" s="45">
        <v>4376.666666666667</v>
      </c>
      <c r="V44" s="45">
        <v>5674.7407407407409</v>
      </c>
      <c r="W44" s="45"/>
      <c r="X44" s="45">
        <v>7.3955555555555552</v>
      </c>
      <c r="Y44" s="45"/>
      <c r="Z44" s="45"/>
      <c r="AA44" s="45"/>
      <c r="AB44" s="45">
        <v>1161.3333333333333</v>
      </c>
      <c r="AC44" s="46">
        <f>IFERROR(AD44/E44,0)</f>
        <v>3136.431792592593</v>
      </c>
      <c r="AD44" s="47">
        <f t="shared" si="3"/>
        <v>20386.806651851854</v>
      </c>
      <c r="AE44" s="48">
        <v>216</v>
      </c>
      <c r="AF44" s="49"/>
      <c r="AG44" s="50">
        <v>144</v>
      </c>
      <c r="AH44" s="51"/>
      <c r="AI44" s="50">
        <v>495</v>
      </c>
      <c r="AJ44" s="50">
        <v>743</v>
      </c>
      <c r="AK44" s="50">
        <v>775</v>
      </c>
      <c r="AL44" s="46"/>
      <c r="AM44" s="38"/>
      <c r="AN44" s="52"/>
      <c r="AO44" s="50">
        <v>2.16</v>
      </c>
      <c r="AP44" s="46"/>
      <c r="AQ44" s="52">
        <v>155</v>
      </c>
      <c r="AR44" s="53">
        <f t="shared" si="4"/>
        <v>3533.3622000000005</v>
      </c>
      <c r="AS44" s="54">
        <f>AR44*E44</f>
        <v>22966.854300000003</v>
      </c>
      <c r="AT44" s="43">
        <f t="shared" si="5"/>
        <v>396.93040740740753</v>
      </c>
      <c r="AU44" s="41">
        <f>IFERROR(AT44*E44,0)</f>
        <v>2580.0476481481492</v>
      </c>
      <c r="AV44" s="38" t="str">
        <f>D44</f>
        <v>M25</v>
      </c>
      <c r="AW44" s="38">
        <f>P44/E44</f>
        <v>112</v>
      </c>
      <c r="AX44" s="38">
        <f>Q44/E44</f>
        <v>208.88888888888889</v>
      </c>
      <c r="AY44" s="38">
        <f>R44/E44</f>
        <v>0</v>
      </c>
      <c r="AZ44" s="38">
        <f>S44/E44</f>
        <v>0</v>
      </c>
      <c r="BA44" s="38">
        <f>T44/E44</f>
        <v>458.37037037037038</v>
      </c>
      <c r="BB44" s="38">
        <f>U44/E44</f>
        <v>673.33333333333337</v>
      </c>
      <c r="BC44" s="38">
        <f>V44/E44</f>
        <v>873.03703703703707</v>
      </c>
      <c r="BD44" s="38"/>
      <c r="BE44" s="38">
        <f>X44/E44</f>
        <v>1.1377777777777778</v>
      </c>
      <c r="BF44" s="38">
        <f>Y44/E44</f>
        <v>0</v>
      </c>
      <c r="BG44" s="38">
        <f>AB44/E44</f>
        <v>178.66666666666666</v>
      </c>
      <c r="BH44" s="55">
        <f>Z44/E44</f>
        <v>0</v>
      </c>
      <c r="BI44" s="38"/>
      <c r="BJ44" s="38">
        <f t="shared" si="12"/>
        <v>2505.434074074074</v>
      </c>
    </row>
    <row r="45" spans="1:62" ht="18.75">
      <c r="A45" s="36">
        <v>45722</v>
      </c>
      <c r="B45" s="37" t="s">
        <v>70</v>
      </c>
      <c r="C45" s="38"/>
      <c r="D45" s="39" t="s">
        <v>40</v>
      </c>
      <c r="E45" s="40">
        <v>7</v>
      </c>
      <c r="F45" s="41"/>
      <c r="G45" s="37" t="s">
        <v>71</v>
      </c>
      <c r="H45" s="42">
        <v>5800</v>
      </c>
      <c r="I45" s="38">
        <f t="shared" si="0"/>
        <v>3662.0347999999999</v>
      </c>
      <c r="J45" s="43">
        <f t="shared" si="7"/>
        <v>3136.4317925925925</v>
      </c>
      <c r="K45" s="43">
        <f t="shared" si="8"/>
        <v>2137.9652000000001</v>
      </c>
      <c r="L45" s="43">
        <f t="shared" si="9"/>
        <v>2663.5682074074075</v>
      </c>
      <c r="M45" s="43">
        <f t="shared" si="1"/>
        <v>0.54076410217113668</v>
      </c>
      <c r="N45" s="43">
        <f t="shared" si="10"/>
        <v>0.63138531034482759</v>
      </c>
      <c r="O45" s="44">
        <f t="shared" si="2"/>
        <v>0.16757992590457091</v>
      </c>
      <c r="P45" s="45">
        <v>784</v>
      </c>
      <c r="Q45" s="45">
        <v>1462.2222222222222</v>
      </c>
      <c r="R45" s="62"/>
      <c r="S45" s="62"/>
      <c r="T45" s="45">
        <v>3208.5925925925926</v>
      </c>
      <c r="U45" s="45">
        <v>4713.3333333333339</v>
      </c>
      <c r="V45" s="45">
        <v>6111.2592592592591</v>
      </c>
      <c r="W45" s="45"/>
      <c r="X45" s="45">
        <v>7.9644444444444442</v>
      </c>
      <c r="Y45" s="45"/>
      <c r="Z45" s="45"/>
      <c r="AA45" s="45"/>
      <c r="AB45" s="45">
        <v>1250.6666666666665</v>
      </c>
      <c r="AC45" s="46">
        <f>IFERROR(AD45/E45,0)</f>
        <v>3136.4317925925925</v>
      </c>
      <c r="AD45" s="47">
        <f t="shared" si="3"/>
        <v>21955.022548148147</v>
      </c>
      <c r="AE45" s="48">
        <v>320</v>
      </c>
      <c r="AF45" s="49"/>
      <c r="AG45" s="50">
        <v>0</v>
      </c>
      <c r="AH45" s="51"/>
      <c r="AI45" s="50">
        <v>495</v>
      </c>
      <c r="AJ45" s="50">
        <v>740</v>
      </c>
      <c r="AK45" s="50">
        <v>800</v>
      </c>
      <c r="AL45" s="46"/>
      <c r="AM45" s="38"/>
      <c r="AN45" s="52"/>
      <c r="AO45" s="52">
        <v>2.2400000000000002</v>
      </c>
      <c r="AP45" s="46"/>
      <c r="AQ45" s="52">
        <v>155</v>
      </c>
      <c r="AR45" s="53">
        <f t="shared" si="4"/>
        <v>3662.0347999999999</v>
      </c>
      <c r="AS45" s="54">
        <f>AR45*E45</f>
        <v>25634.243599999998</v>
      </c>
      <c r="AT45" s="43">
        <f t="shared" si="5"/>
        <v>525.6030074074074</v>
      </c>
      <c r="AU45" s="41">
        <f>IFERROR(AT45*E45,0)</f>
        <v>3679.2210518518518</v>
      </c>
      <c r="AV45" s="38" t="str">
        <f>D45</f>
        <v>M25</v>
      </c>
      <c r="AW45" s="38">
        <f>P45/E45</f>
        <v>112</v>
      </c>
      <c r="AX45" s="38">
        <f>Q45/E45</f>
        <v>208.88888888888889</v>
      </c>
      <c r="AY45" s="38">
        <f>R45/E45</f>
        <v>0</v>
      </c>
      <c r="AZ45" s="38">
        <f>S45/E45</f>
        <v>0</v>
      </c>
      <c r="BA45" s="38">
        <f>T45/E45</f>
        <v>458.37037037037038</v>
      </c>
      <c r="BB45" s="38">
        <f>U45/E45</f>
        <v>673.33333333333337</v>
      </c>
      <c r="BC45" s="38">
        <f>V45/E45</f>
        <v>873.03703703703707</v>
      </c>
      <c r="BD45" s="38"/>
      <c r="BE45" s="38">
        <f>X45/E45</f>
        <v>1.1377777777777778</v>
      </c>
      <c r="BF45" s="38">
        <f>Y45/E45</f>
        <v>0</v>
      </c>
      <c r="BG45" s="38">
        <f>AB45/E45</f>
        <v>178.66666666666666</v>
      </c>
      <c r="BH45" s="55">
        <f>Z45/E45</f>
        <v>0</v>
      </c>
      <c r="BI45" s="38"/>
      <c r="BJ45" s="38">
        <f t="shared" si="12"/>
        <v>2505.434074074074</v>
      </c>
    </row>
    <row r="46" spans="1:62" ht="18.75">
      <c r="A46" s="36">
        <v>45722</v>
      </c>
      <c r="B46" s="37" t="s">
        <v>72</v>
      </c>
      <c r="C46" s="38"/>
      <c r="D46" s="39" t="s">
        <v>43</v>
      </c>
      <c r="E46" s="66">
        <v>12</v>
      </c>
      <c r="F46" s="41"/>
      <c r="G46" s="37" t="s">
        <v>44</v>
      </c>
      <c r="H46" s="42">
        <v>7677.12</v>
      </c>
      <c r="I46" s="38">
        <f t="shared" si="0"/>
        <v>3627.3514</v>
      </c>
      <c r="J46" s="43">
        <f t="shared" si="7"/>
        <v>3261.2361166666674</v>
      </c>
      <c r="K46" s="43">
        <f t="shared" si="8"/>
        <v>4049.7685999999999</v>
      </c>
      <c r="L46" s="43">
        <f t="shared" si="9"/>
        <v>4415.8838833333321</v>
      </c>
      <c r="M46" s="43">
        <f t="shared" si="1"/>
        <v>0.42479941913981639</v>
      </c>
      <c r="N46" s="43">
        <f t="shared" si="10"/>
        <v>0.4724885634196157</v>
      </c>
      <c r="O46" s="44">
        <f t="shared" si="2"/>
        <v>0.11226273420139292</v>
      </c>
      <c r="P46" s="45">
        <v>1508</v>
      </c>
      <c r="Q46" s="45">
        <v>2827</v>
      </c>
      <c r="R46" s="62"/>
      <c r="S46" s="62"/>
      <c r="T46" s="45">
        <v>5698</v>
      </c>
      <c r="U46" s="45">
        <v>8136</v>
      </c>
      <c r="V46" s="45">
        <v>9684</v>
      </c>
      <c r="W46" s="45"/>
      <c r="X46" s="45">
        <v>17.32</v>
      </c>
      <c r="Y46" s="45"/>
      <c r="Z46" s="45"/>
      <c r="AA46" s="45"/>
      <c r="AB46" s="45">
        <v>2064</v>
      </c>
      <c r="AC46" s="46">
        <f>IFERROR(AD46/E46,0)</f>
        <v>3261.2361166666674</v>
      </c>
      <c r="AD46" s="47">
        <f t="shared" si="3"/>
        <v>39134.83340000001</v>
      </c>
      <c r="AE46" s="48">
        <v>252</v>
      </c>
      <c r="AF46" s="49"/>
      <c r="AG46" s="50">
        <v>108</v>
      </c>
      <c r="AH46" s="51"/>
      <c r="AI46" s="50">
        <v>495</v>
      </c>
      <c r="AJ46" s="50">
        <v>743</v>
      </c>
      <c r="AK46" s="50">
        <f>300+475</f>
        <v>775</v>
      </c>
      <c r="AL46" s="46"/>
      <c r="AM46" s="38"/>
      <c r="AN46" s="52"/>
      <c r="AO46" s="50">
        <v>2.52</v>
      </c>
      <c r="AP46" s="46"/>
      <c r="AQ46" s="52">
        <v>150</v>
      </c>
      <c r="AR46" s="53">
        <f t="shared" si="4"/>
        <v>3627.3514</v>
      </c>
      <c r="AS46" s="54">
        <f>AR46*E46</f>
        <v>43528.216800000002</v>
      </c>
      <c r="AT46" s="43">
        <f t="shared" si="5"/>
        <v>366.11528333333263</v>
      </c>
      <c r="AU46" s="41">
        <f>IFERROR(AT46*E46,0)</f>
        <v>4393.3833999999915</v>
      </c>
      <c r="AV46" s="38" t="str">
        <f>D46</f>
        <v>M30</v>
      </c>
      <c r="AW46" s="38">
        <f>P46/E46</f>
        <v>125.66666666666667</v>
      </c>
      <c r="AX46" s="38">
        <f>Q46/E46</f>
        <v>235.58333333333334</v>
      </c>
      <c r="AY46" s="38">
        <f>R46/E46</f>
        <v>0</v>
      </c>
      <c r="AZ46" s="38">
        <f>S46/E46</f>
        <v>0</v>
      </c>
      <c r="BA46" s="38">
        <f>T46/E46</f>
        <v>474.83333333333331</v>
      </c>
      <c r="BB46" s="38">
        <f>U46/E46</f>
        <v>678</v>
      </c>
      <c r="BC46" s="38">
        <f>V46/E46</f>
        <v>807</v>
      </c>
      <c r="BD46" s="38"/>
      <c r="BE46" s="38">
        <f>X46/E46</f>
        <v>1.4433333333333334</v>
      </c>
      <c r="BF46" s="38">
        <f>Y46/E46</f>
        <v>0</v>
      </c>
      <c r="BG46" s="38">
        <f>AB46/E46</f>
        <v>172</v>
      </c>
      <c r="BH46" s="55">
        <f>Z46/E46</f>
        <v>0</v>
      </c>
      <c r="BI46" s="38"/>
      <c r="BJ46" s="38">
        <f t="shared" si="12"/>
        <v>2494.5266666666662</v>
      </c>
    </row>
    <row r="47" spans="1:62" ht="18.75">
      <c r="A47" s="36">
        <v>45722</v>
      </c>
      <c r="B47" s="37" t="s">
        <v>45</v>
      </c>
      <c r="C47" s="38"/>
      <c r="D47" s="39" t="s">
        <v>43</v>
      </c>
      <c r="E47" s="66">
        <v>8</v>
      </c>
      <c r="F47" s="41"/>
      <c r="G47" s="37" t="s">
        <v>46</v>
      </c>
      <c r="H47" s="42">
        <v>6000</v>
      </c>
      <c r="I47" s="38">
        <f t="shared" si="0"/>
        <v>4033.4050000000002</v>
      </c>
      <c r="J47" s="43">
        <f t="shared" si="7"/>
        <v>3535.7491</v>
      </c>
      <c r="K47" s="43">
        <f t="shared" si="8"/>
        <v>1966.5949999999998</v>
      </c>
      <c r="L47" s="43">
        <f t="shared" si="9"/>
        <v>2464.2509</v>
      </c>
      <c r="M47" s="43">
        <f t="shared" si="1"/>
        <v>0.58929151666666668</v>
      </c>
      <c r="N47" s="43">
        <f t="shared" si="10"/>
        <v>0.67223416666666669</v>
      </c>
      <c r="O47" s="44">
        <f t="shared" si="2"/>
        <v>0.14074977774865305</v>
      </c>
      <c r="P47" s="45">
        <v>1995</v>
      </c>
      <c r="Q47" s="45">
        <v>886</v>
      </c>
      <c r="R47" s="62"/>
      <c r="S47" s="62"/>
      <c r="T47" s="45">
        <v>3537</v>
      </c>
      <c r="U47" s="45">
        <v>5331</v>
      </c>
      <c r="V47" s="45">
        <v>6789</v>
      </c>
      <c r="W47" s="45"/>
      <c r="X47" s="45">
        <v>13.14</v>
      </c>
      <c r="Y47" s="45"/>
      <c r="Z47" s="45"/>
      <c r="AA47" s="45"/>
      <c r="AB47" s="45">
        <v>1454</v>
      </c>
      <c r="AC47" s="46">
        <f>IFERROR(AD47/E47,0)</f>
        <v>3535.7491</v>
      </c>
      <c r="AD47" s="47">
        <f t="shared" si="3"/>
        <v>28285.9928</v>
      </c>
      <c r="AE47" s="48">
        <v>380</v>
      </c>
      <c r="AF47" s="49"/>
      <c r="AG47" s="50">
        <v>0</v>
      </c>
      <c r="AH47" s="51"/>
      <c r="AI47" s="50">
        <v>495</v>
      </c>
      <c r="AJ47" s="50">
        <v>745</v>
      </c>
      <c r="AK47" s="50">
        <f>380+380</f>
        <v>760</v>
      </c>
      <c r="AL47" s="46"/>
      <c r="AM47" s="38"/>
      <c r="AN47" s="52">
        <v>2.4700000000000002</v>
      </c>
      <c r="AO47" s="50"/>
      <c r="AP47" s="46"/>
      <c r="AQ47" s="52">
        <v>144</v>
      </c>
      <c r="AR47" s="53">
        <f t="shared" si="4"/>
        <v>4033.4050000000002</v>
      </c>
      <c r="AS47" s="54">
        <f>AR47*E47</f>
        <v>32267.24</v>
      </c>
      <c r="AT47" s="43">
        <f t="shared" si="5"/>
        <v>497.6559000000002</v>
      </c>
      <c r="AU47" s="41">
        <f>IFERROR(AT47*E47,0)</f>
        <v>3981.2472000000016</v>
      </c>
      <c r="AV47" s="38" t="str">
        <f>D47</f>
        <v>M30</v>
      </c>
      <c r="AW47" s="38">
        <f>P47/E47</f>
        <v>249.375</v>
      </c>
      <c r="AX47" s="38">
        <f>Q47/E47</f>
        <v>110.75</v>
      </c>
      <c r="AY47" s="38">
        <f>R47/E47</f>
        <v>0</v>
      </c>
      <c r="AZ47" s="38">
        <f>S47/E47</f>
        <v>0</v>
      </c>
      <c r="BA47" s="38">
        <f>T47/E47</f>
        <v>442.125</v>
      </c>
      <c r="BB47" s="38">
        <f>U47/E47</f>
        <v>666.375</v>
      </c>
      <c r="BC47" s="38">
        <f>V47/E47</f>
        <v>848.625</v>
      </c>
      <c r="BD47" s="38"/>
      <c r="BE47" s="38">
        <f>X47/E47</f>
        <v>1.6425000000000001</v>
      </c>
      <c r="BF47" s="38">
        <f>Y47/E47</f>
        <v>0</v>
      </c>
      <c r="BG47" s="38">
        <f>AB47/E47</f>
        <v>181.75</v>
      </c>
      <c r="BH47" s="55">
        <f>Z47/E47</f>
        <v>0</v>
      </c>
      <c r="BI47" s="38"/>
      <c r="BJ47" s="38">
        <f t="shared" si="12"/>
        <v>2500.6424999999999</v>
      </c>
    </row>
    <row r="48" spans="1:62" ht="18.75">
      <c r="A48" s="36">
        <v>45723</v>
      </c>
      <c r="B48" s="37" t="s">
        <v>63</v>
      </c>
      <c r="C48" s="38"/>
      <c r="D48" s="39" t="s">
        <v>31</v>
      </c>
      <c r="E48" s="66">
        <v>6.5</v>
      </c>
      <c r="F48" s="41"/>
      <c r="G48" s="37" t="s">
        <v>73</v>
      </c>
      <c r="H48" s="42">
        <v>5250</v>
      </c>
      <c r="I48" s="38">
        <f t="shared" si="0"/>
        <v>2860.8939999999998</v>
      </c>
      <c r="J48" s="43">
        <f t="shared" si="7"/>
        <v>2637.452169230769</v>
      </c>
      <c r="K48" s="43">
        <f t="shared" si="8"/>
        <v>2389.1060000000002</v>
      </c>
      <c r="L48" s="43">
        <f t="shared" si="9"/>
        <v>2612.547830769231</v>
      </c>
      <c r="M48" s="43">
        <f t="shared" si="1"/>
        <v>0.50237184175824168</v>
      </c>
      <c r="N48" s="43">
        <f t="shared" si="10"/>
        <v>0.54493219047619046</v>
      </c>
      <c r="O48" s="44">
        <f t="shared" si="2"/>
        <v>8.4718818174586819E-2</v>
      </c>
      <c r="P48" s="45">
        <v>396</v>
      </c>
      <c r="Q48" s="45">
        <v>652</v>
      </c>
      <c r="R48" s="62"/>
      <c r="S48" s="62"/>
      <c r="T48" s="45">
        <v>2702</v>
      </c>
      <c r="U48" s="45">
        <v>4294</v>
      </c>
      <c r="V48" s="45">
        <f>3405+3472</f>
        <v>6877</v>
      </c>
      <c r="W48" s="45"/>
      <c r="X48" s="45">
        <v>4.83</v>
      </c>
      <c r="Y48" s="45"/>
      <c r="Z48" s="45"/>
      <c r="AA48" s="45"/>
      <c r="AB48" s="45">
        <v>1133</v>
      </c>
      <c r="AC48" s="46">
        <f>IFERROR(AD48/E48,0)</f>
        <v>2637.452169230769</v>
      </c>
      <c r="AD48" s="47">
        <f t="shared" si="3"/>
        <v>17143.4391</v>
      </c>
      <c r="AE48" s="50">
        <v>120</v>
      </c>
      <c r="AF48" s="49"/>
      <c r="AG48" s="50">
        <v>80</v>
      </c>
      <c r="AH48" s="51"/>
      <c r="AI48" s="50">
        <v>470</v>
      </c>
      <c r="AJ48" s="50">
        <v>650</v>
      </c>
      <c r="AK48" s="50">
        <f>460+510</f>
        <v>970</v>
      </c>
      <c r="AL48" s="46"/>
      <c r="AM48" s="38"/>
      <c r="AN48" s="52"/>
      <c r="AO48" s="50">
        <v>1.2</v>
      </c>
      <c r="AP48" s="46"/>
      <c r="AQ48" s="52">
        <v>140</v>
      </c>
      <c r="AR48" s="53">
        <f t="shared" si="4"/>
        <v>2860.8939999999998</v>
      </c>
      <c r="AS48" s="54">
        <f>AR48*E48</f>
        <v>18595.810999999998</v>
      </c>
      <c r="AT48" s="43">
        <f t="shared" si="5"/>
        <v>223.44183076923082</v>
      </c>
      <c r="AU48" s="41">
        <f>IFERROR(AT48*E48,0)</f>
        <v>1452.3719000000003</v>
      </c>
      <c r="AV48" s="38" t="str">
        <f>D48</f>
        <v>M10</v>
      </c>
      <c r="AW48" s="38">
        <f>P48/E48</f>
        <v>60.92307692307692</v>
      </c>
      <c r="AX48" s="38">
        <f>Q48/E48</f>
        <v>100.30769230769231</v>
      </c>
      <c r="AY48" s="38">
        <f>R48/E48</f>
        <v>0</v>
      </c>
      <c r="AZ48" s="38">
        <f>S48/E48</f>
        <v>0</v>
      </c>
      <c r="BA48" s="38">
        <f>T48/E48</f>
        <v>415.69230769230768</v>
      </c>
      <c r="BB48" s="38">
        <f>U48/E48</f>
        <v>660.61538461538464</v>
      </c>
      <c r="BC48" s="38">
        <f>V48/E48</f>
        <v>1058</v>
      </c>
      <c r="BD48" s="38"/>
      <c r="BE48" s="38">
        <f>X48/E48</f>
        <v>0.74307692307692308</v>
      </c>
      <c r="BF48" s="38">
        <f>Y48/E48</f>
        <v>0</v>
      </c>
      <c r="BG48" s="38">
        <f>AB48/E48</f>
        <v>174.30769230769232</v>
      </c>
      <c r="BH48" s="55">
        <f>Z48/E48</f>
        <v>0</v>
      </c>
      <c r="BI48" s="38"/>
      <c r="BJ48" s="38">
        <f t="shared" si="12"/>
        <v>2470.5892307692307</v>
      </c>
    </row>
    <row r="49" spans="1:62" ht="18.75">
      <c r="A49" s="36">
        <v>45723</v>
      </c>
      <c r="B49" s="37" t="s">
        <v>47</v>
      </c>
      <c r="C49" s="38"/>
      <c r="D49" s="39" t="s">
        <v>74</v>
      </c>
      <c r="E49" s="66">
        <v>6</v>
      </c>
      <c r="F49" s="41"/>
      <c r="G49" s="37" t="s">
        <v>75</v>
      </c>
      <c r="H49" s="42">
        <v>4600</v>
      </c>
      <c r="I49" s="38">
        <f t="shared" si="0"/>
        <v>2954.4700000000003</v>
      </c>
      <c r="J49" s="43">
        <f t="shared" si="7"/>
        <v>2520.8916333333332</v>
      </c>
      <c r="K49" s="43">
        <f t="shared" si="8"/>
        <v>1645.5299999999997</v>
      </c>
      <c r="L49" s="43">
        <f t="shared" si="9"/>
        <v>2079.1083666666668</v>
      </c>
      <c r="M49" s="43">
        <f t="shared" si="1"/>
        <v>0.54801992028985502</v>
      </c>
      <c r="N49" s="43">
        <f t="shared" si="10"/>
        <v>0.64227608695652183</v>
      </c>
      <c r="O49" s="44">
        <f t="shared" si="2"/>
        <v>0.17199405199871834</v>
      </c>
      <c r="P49" s="45">
        <v>365</v>
      </c>
      <c r="Q49" s="45">
        <v>365</v>
      </c>
      <c r="R49" s="62"/>
      <c r="S49" s="62"/>
      <c r="T49" s="45">
        <v>2727</v>
      </c>
      <c r="U49" s="45">
        <v>4065</v>
      </c>
      <c r="V49" s="45">
        <f>3053+3042</f>
        <v>6095</v>
      </c>
      <c r="W49" s="45"/>
      <c r="X49" s="45">
        <v>3.34</v>
      </c>
      <c r="Y49" s="45"/>
      <c r="Z49" s="45"/>
      <c r="AA49" s="45"/>
      <c r="AB49" s="45">
        <v>1093</v>
      </c>
      <c r="AC49" s="46">
        <f>IFERROR(AD49/E49,0)</f>
        <v>2520.8916333333332</v>
      </c>
      <c r="AD49" s="47">
        <f t="shared" si="3"/>
        <v>15125.3498</v>
      </c>
      <c r="AE49" s="48">
        <v>140</v>
      </c>
      <c r="AF49" s="49"/>
      <c r="AG49" s="50">
        <v>60</v>
      </c>
      <c r="AH49" s="51"/>
      <c r="AI49" s="50">
        <v>470</v>
      </c>
      <c r="AJ49" s="50">
        <v>690</v>
      </c>
      <c r="AK49" s="50">
        <f>500+440</f>
        <v>940</v>
      </c>
      <c r="AL49" s="46"/>
      <c r="AM49" s="38"/>
      <c r="AN49" s="52">
        <v>1.2</v>
      </c>
      <c r="AO49" s="50"/>
      <c r="AP49" s="46"/>
      <c r="AQ49" s="52">
        <v>160</v>
      </c>
      <c r="AR49" s="53">
        <f t="shared" si="4"/>
        <v>2954.4700000000003</v>
      </c>
      <c r="AS49" s="54">
        <f>AR49*E49</f>
        <v>17726.82</v>
      </c>
      <c r="AT49" s="43">
        <f t="shared" si="5"/>
        <v>433.57836666666708</v>
      </c>
      <c r="AU49" s="41">
        <f>IFERROR(AT49*E49,0)</f>
        <v>2601.4702000000025</v>
      </c>
      <c r="AV49" s="38" t="str">
        <f>D49</f>
        <v>M7.5</v>
      </c>
      <c r="AW49" s="38">
        <f>P49/E49</f>
        <v>60.833333333333336</v>
      </c>
      <c r="AX49" s="38">
        <f>Q49/E49</f>
        <v>60.833333333333336</v>
      </c>
      <c r="AY49" s="38">
        <f>R49/E49</f>
        <v>0</v>
      </c>
      <c r="AZ49" s="38">
        <f>S49/E49</f>
        <v>0</v>
      </c>
      <c r="BA49" s="38">
        <f>T49/E49</f>
        <v>454.5</v>
      </c>
      <c r="BB49" s="38">
        <f>U49/E49</f>
        <v>677.5</v>
      </c>
      <c r="BC49" s="38">
        <f>V49/E49</f>
        <v>1015.8333333333334</v>
      </c>
      <c r="BD49" s="38"/>
      <c r="BE49" s="38">
        <f>X49/E49</f>
        <v>0.55666666666666664</v>
      </c>
      <c r="BF49" s="38">
        <f>Y49/E49</f>
        <v>0</v>
      </c>
      <c r="BG49" s="38">
        <f>AB49/E49</f>
        <v>182.16666666666666</v>
      </c>
      <c r="BH49" s="55">
        <f>Z49/E49</f>
        <v>0</v>
      </c>
      <c r="BI49" s="38"/>
      <c r="BJ49" s="38">
        <f t="shared" si="12"/>
        <v>2452.2233333333334</v>
      </c>
    </row>
    <row r="50" spans="1:62" ht="18.75">
      <c r="A50" s="36">
        <v>45723</v>
      </c>
      <c r="B50" s="37" t="s">
        <v>63</v>
      </c>
      <c r="C50" s="38"/>
      <c r="D50" s="39" t="s">
        <v>40</v>
      </c>
      <c r="E50" s="40">
        <v>11</v>
      </c>
      <c r="F50" s="41"/>
      <c r="G50" s="37" t="s">
        <v>64</v>
      </c>
      <c r="H50" s="42">
        <v>5700</v>
      </c>
      <c r="I50" s="38">
        <f t="shared" si="0"/>
        <v>3533.3622000000005</v>
      </c>
      <c r="J50" s="43">
        <f t="shared" si="7"/>
        <v>3145.8176888888888</v>
      </c>
      <c r="K50" s="43">
        <f t="shared" si="8"/>
        <v>2166.6377999999995</v>
      </c>
      <c r="L50" s="43">
        <f t="shared" si="9"/>
        <v>2554.1823111111112</v>
      </c>
      <c r="M50" s="43">
        <f t="shared" si="1"/>
        <v>0.55189784015594545</v>
      </c>
      <c r="N50" s="43">
        <f t="shared" si="10"/>
        <v>0.61988810526315796</v>
      </c>
      <c r="O50" s="44">
        <f t="shared" si="2"/>
        <v>0.12319356982444619</v>
      </c>
      <c r="P50" s="45">
        <v>1235.2592592592591</v>
      </c>
      <c r="Q50" s="45">
        <v>2306.7407407407409</v>
      </c>
      <c r="R50" s="71">
        <v>0</v>
      </c>
      <c r="S50" s="71">
        <v>0</v>
      </c>
      <c r="T50" s="45">
        <v>5126.8148148148148</v>
      </c>
      <c r="U50" s="45">
        <v>7726.8888888888887</v>
      </c>
      <c r="V50" s="45">
        <v>9281.5555555555566</v>
      </c>
      <c r="W50" s="45">
        <v>0</v>
      </c>
      <c r="X50" s="45">
        <v>12.254814814814814</v>
      </c>
      <c r="Y50" s="45">
        <v>0</v>
      </c>
      <c r="Z50" s="45">
        <v>0</v>
      </c>
      <c r="AA50" s="45">
        <v>0</v>
      </c>
      <c r="AB50" s="45">
        <v>1909.9259259259259</v>
      </c>
      <c r="AC50" s="46">
        <f>IFERROR(AD50/E50,0)</f>
        <v>3145.8176888888888</v>
      </c>
      <c r="AD50" s="47">
        <f t="shared" si="3"/>
        <v>34603.994577777776</v>
      </c>
      <c r="AE50" s="48">
        <v>216</v>
      </c>
      <c r="AF50" s="49"/>
      <c r="AG50" s="50">
        <v>144</v>
      </c>
      <c r="AH50" s="51"/>
      <c r="AI50" s="50">
        <v>495</v>
      </c>
      <c r="AJ50" s="50">
        <v>743</v>
      </c>
      <c r="AK50" s="50">
        <v>775</v>
      </c>
      <c r="AL50" s="46"/>
      <c r="AM50" s="38"/>
      <c r="AN50" s="52"/>
      <c r="AO50" s="50">
        <v>2.16</v>
      </c>
      <c r="AP50" s="46"/>
      <c r="AQ50" s="52">
        <v>155</v>
      </c>
      <c r="AR50" s="53">
        <f t="shared" si="4"/>
        <v>3533.3622000000005</v>
      </c>
      <c r="AS50" s="54">
        <f>AR50*E50</f>
        <v>38866.984200000006</v>
      </c>
      <c r="AT50" s="43">
        <f t="shared" si="5"/>
        <v>387.54451111111166</v>
      </c>
      <c r="AU50" s="41">
        <f>IFERROR(AT50*E50,0)</f>
        <v>4262.9896222222287</v>
      </c>
      <c r="AV50" s="38" t="str">
        <f>D50</f>
        <v>M25</v>
      </c>
      <c r="AW50" s="38">
        <f>P50/E50</f>
        <v>112.29629629629629</v>
      </c>
      <c r="AX50" s="38">
        <f>Q50/E50</f>
        <v>209.70370370370372</v>
      </c>
      <c r="AY50" s="38">
        <f>R50/E50</f>
        <v>0</v>
      </c>
      <c r="AZ50" s="38">
        <f>S50/E50</f>
        <v>0</v>
      </c>
      <c r="BA50" s="38">
        <f>T50/E50</f>
        <v>466.07407407407408</v>
      </c>
      <c r="BB50" s="38">
        <f>U50/E50</f>
        <v>702.44444444444446</v>
      </c>
      <c r="BC50" s="38">
        <f>V50/E50</f>
        <v>843.77777777777783</v>
      </c>
      <c r="BD50" s="38"/>
      <c r="BE50" s="38">
        <f>X50/E50</f>
        <v>1.114074074074074</v>
      </c>
      <c r="BF50" s="38">
        <f>Y50/E50</f>
        <v>0</v>
      </c>
      <c r="BG50" s="38">
        <f>AB50/E50</f>
        <v>173.62962962962962</v>
      </c>
      <c r="BH50" s="55">
        <f>Z50/E50</f>
        <v>0</v>
      </c>
      <c r="BI50" s="38"/>
      <c r="BJ50" s="38">
        <f t="shared" si="12"/>
        <v>2509.04</v>
      </c>
    </row>
    <row r="51" spans="1:62" ht="18.75">
      <c r="A51" s="36">
        <v>45723</v>
      </c>
      <c r="B51" s="37" t="s">
        <v>76</v>
      </c>
      <c r="C51" s="38"/>
      <c r="D51" s="39" t="s">
        <v>43</v>
      </c>
      <c r="E51" s="40">
        <v>2.5</v>
      </c>
      <c r="F51" s="41"/>
      <c r="G51" s="37" t="s">
        <v>77</v>
      </c>
      <c r="H51" s="42">
        <v>5800</v>
      </c>
      <c r="I51" s="38">
        <f t="shared" si="0"/>
        <v>3611.0944</v>
      </c>
      <c r="J51" s="43">
        <f t="shared" si="7"/>
        <v>3145.8176888888893</v>
      </c>
      <c r="K51" s="43">
        <f t="shared" si="8"/>
        <v>2188.9056</v>
      </c>
      <c r="L51" s="43">
        <f t="shared" si="9"/>
        <v>2654.1823111111107</v>
      </c>
      <c r="M51" s="43">
        <f t="shared" si="1"/>
        <v>0.5423823601532568</v>
      </c>
      <c r="N51" s="43">
        <f t="shared" si="10"/>
        <v>0.62260248275862073</v>
      </c>
      <c r="O51" s="44">
        <f t="shared" si="2"/>
        <v>0.14790326621739089</v>
      </c>
      <c r="P51" s="45">
        <v>280.7407407407407</v>
      </c>
      <c r="Q51" s="45">
        <v>524.25925925925924</v>
      </c>
      <c r="R51" s="71">
        <v>0</v>
      </c>
      <c r="S51" s="71">
        <v>0</v>
      </c>
      <c r="T51" s="45">
        <v>1165.1851851851852</v>
      </c>
      <c r="U51" s="45">
        <v>1756.1111111111111</v>
      </c>
      <c r="V51" s="45">
        <v>2109.4444444444443</v>
      </c>
      <c r="W51" s="45">
        <v>0</v>
      </c>
      <c r="X51" s="45">
        <v>2.7851851851851848</v>
      </c>
      <c r="Y51" s="45">
        <v>0</v>
      </c>
      <c r="Z51" s="45">
        <v>0</v>
      </c>
      <c r="AA51" s="45">
        <v>0</v>
      </c>
      <c r="AB51" s="45">
        <v>434.07407407407402</v>
      </c>
      <c r="AC51" s="46">
        <f>IFERROR(AD51/E51,0)</f>
        <v>3145.8176888888893</v>
      </c>
      <c r="AD51" s="47">
        <f t="shared" si="3"/>
        <v>7864.5442222222227</v>
      </c>
      <c r="AE51" s="50">
        <v>252</v>
      </c>
      <c r="AF51" s="49"/>
      <c r="AG51" s="50">
        <v>108</v>
      </c>
      <c r="AH51" s="51"/>
      <c r="AI51" s="50">
        <v>525</v>
      </c>
      <c r="AJ51" s="50">
        <v>760</v>
      </c>
      <c r="AK51" s="50">
        <f>350+360</f>
        <v>710</v>
      </c>
      <c r="AL51" s="46"/>
      <c r="AM51" s="38"/>
      <c r="AN51" s="52"/>
      <c r="AO51" s="50">
        <v>2.52</v>
      </c>
      <c r="AP51" s="46"/>
      <c r="AQ51" s="52">
        <v>155</v>
      </c>
      <c r="AR51" s="53">
        <f t="shared" si="4"/>
        <v>3611.0944</v>
      </c>
      <c r="AS51" s="54">
        <f>AR51*E51</f>
        <v>9027.7360000000008</v>
      </c>
      <c r="AT51" s="43">
        <f t="shared" si="5"/>
        <v>465.27671111111067</v>
      </c>
      <c r="AU51" s="41">
        <f>IFERROR(AT51*E51,0)</f>
        <v>1163.1917777777767</v>
      </c>
      <c r="AV51" s="38" t="str">
        <f>D51</f>
        <v>M30</v>
      </c>
      <c r="AW51" s="38">
        <f>P51/E51</f>
        <v>112.29629629629628</v>
      </c>
      <c r="AX51" s="38">
        <f>Q51/E51</f>
        <v>209.7037037037037</v>
      </c>
      <c r="AY51" s="38">
        <f>R51/E51</f>
        <v>0</v>
      </c>
      <c r="AZ51" s="38">
        <f>S51/E51</f>
        <v>0</v>
      </c>
      <c r="BA51" s="38">
        <f>T51/E51</f>
        <v>466.07407407407408</v>
      </c>
      <c r="BB51" s="38">
        <f>U51/E51</f>
        <v>702.44444444444446</v>
      </c>
      <c r="BC51" s="38">
        <f>V51/E51</f>
        <v>843.77777777777771</v>
      </c>
      <c r="BD51" s="38"/>
      <c r="BE51" s="38">
        <f>X51/E51</f>
        <v>1.114074074074074</v>
      </c>
      <c r="BF51" s="38">
        <f>Y51/E51</f>
        <v>0</v>
      </c>
      <c r="BG51" s="38">
        <f>AB51/E51</f>
        <v>173.62962962962962</v>
      </c>
      <c r="BH51" s="55">
        <f>Z51/E51</f>
        <v>0</v>
      </c>
      <c r="BI51" s="38"/>
      <c r="BJ51" s="38">
        <f t="shared" si="12"/>
        <v>2509.04</v>
      </c>
    </row>
    <row r="52" spans="1:62" ht="18.75">
      <c r="A52" s="36">
        <v>45723</v>
      </c>
      <c r="B52" s="37" t="s">
        <v>76</v>
      </c>
      <c r="C52" s="38"/>
      <c r="D52" s="39" t="s">
        <v>43</v>
      </c>
      <c r="E52" s="40">
        <v>39</v>
      </c>
      <c r="F52" s="41"/>
      <c r="G52" s="37" t="s">
        <v>77</v>
      </c>
      <c r="H52" s="42">
        <v>5800</v>
      </c>
      <c r="I52" s="38">
        <f t="shared" si="0"/>
        <v>3611.0944</v>
      </c>
      <c r="J52" s="43">
        <f t="shared" si="7"/>
        <v>3496.6805743589739</v>
      </c>
      <c r="K52" s="43">
        <f t="shared" si="8"/>
        <v>2188.9056</v>
      </c>
      <c r="L52" s="43">
        <f t="shared" si="9"/>
        <v>2303.3194256410261</v>
      </c>
      <c r="M52" s="43">
        <f t="shared" si="1"/>
        <v>0.60287596109637476</v>
      </c>
      <c r="N52" s="43">
        <f t="shared" si="10"/>
        <v>0.62260248275862073</v>
      </c>
      <c r="O52" s="44">
        <f t="shared" si="2"/>
        <v>3.2720697017628357E-2</v>
      </c>
      <c r="P52" s="45">
        <v>8968</v>
      </c>
      <c r="Q52" s="45">
        <v>5092</v>
      </c>
      <c r="R52" s="62"/>
      <c r="S52" s="62"/>
      <c r="T52" s="45">
        <v>18221</v>
      </c>
      <c r="U52" s="45">
        <v>26209</v>
      </c>
      <c r="V52" s="45">
        <f>15705+16401</f>
        <v>32106</v>
      </c>
      <c r="W52" s="45"/>
      <c r="X52" s="45">
        <v>61.82</v>
      </c>
      <c r="Y52" s="45"/>
      <c r="Z52" s="45"/>
      <c r="AA52" s="45"/>
      <c r="AB52" s="45">
        <v>7083</v>
      </c>
      <c r="AC52" s="46">
        <f>IFERROR(AD52/E52,0)</f>
        <v>3496.6805743589739</v>
      </c>
      <c r="AD52" s="47">
        <f t="shared" si="3"/>
        <v>136370.54239999998</v>
      </c>
      <c r="AE52" s="50">
        <v>252</v>
      </c>
      <c r="AF52" s="49"/>
      <c r="AG52" s="50">
        <v>108</v>
      </c>
      <c r="AH52" s="51"/>
      <c r="AI52" s="50">
        <v>525</v>
      </c>
      <c r="AJ52" s="50">
        <v>760</v>
      </c>
      <c r="AK52" s="50">
        <f>350+360</f>
        <v>710</v>
      </c>
      <c r="AL52" s="46"/>
      <c r="AM52" s="38"/>
      <c r="AN52" s="52"/>
      <c r="AO52" s="50">
        <v>2.52</v>
      </c>
      <c r="AP52" s="46"/>
      <c r="AQ52" s="52">
        <v>155</v>
      </c>
      <c r="AR52" s="53">
        <f t="shared" si="4"/>
        <v>3611.0944</v>
      </c>
      <c r="AS52" s="54">
        <f>AR52*E52</f>
        <v>140832.68160000001</v>
      </c>
      <c r="AT52" s="43">
        <f t="shared" si="5"/>
        <v>114.41382564102605</v>
      </c>
      <c r="AU52" s="41">
        <f>IFERROR(AT52*E52,0)</f>
        <v>4462.139200000016</v>
      </c>
      <c r="AV52" s="38" t="str">
        <f>D52</f>
        <v>M30</v>
      </c>
      <c r="AW52" s="38">
        <f>P52/E52</f>
        <v>229.94871794871796</v>
      </c>
      <c r="AX52" s="38">
        <f>Q52/E52</f>
        <v>130.56410256410257</v>
      </c>
      <c r="AY52" s="38">
        <f>R52/E52</f>
        <v>0</v>
      </c>
      <c r="AZ52" s="38">
        <f>S52/E52</f>
        <v>0</v>
      </c>
      <c r="BA52" s="38">
        <f>T52/E52</f>
        <v>467.20512820512823</v>
      </c>
      <c r="BB52" s="38">
        <f>U52/E52</f>
        <v>672.02564102564099</v>
      </c>
      <c r="BC52" s="38">
        <f>V52/E52</f>
        <v>823.23076923076928</v>
      </c>
      <c r="BD52" s="38"/>
      <c r="BE52" s="38">
        <f>X52/E52</f>
        <v>1.5851282051282052</v>
      </c>
      <c r="BF52" s="38">
        <f>Y52/E52</f>
        <v>0</v>
      </c>
      <c r="BG52" s="38">
        <f>AB52/E52</f>
        <v>181.61538461538461</v>
      </c>
      <c r="BH52" s="55">
        <f>Z52/E52</f>
        <v>0</v>
      </c>
      <c r="BI52" s="38"/>
      <c r="BJ52" s="38">
        <f t="shared" si="12"/>
        <v>2506.1748717948722</v>
      </c>
    </row>
    <row r="53" spans="1:62" ht="18.75">
      <c r="A53" s="36">
        <v>45723</v>
      </c>
      <c r="B53" s="37" t="s">
        <v>76</v>
      </c>
      <c r="C53" s="38"/>
      <c r="D53" s="39" t="s">
        <v>43</v>
      </c>
      <c r="E53" s="40">
        <v>136</v>
      </c>
      <c r="F53" s="41"/>
      <c r="G53" s="37" t="s">
        <v>77</v>
      </c>
      <c r="H53" s="42">
        <v>5800</v>
      </c>
      <c r="I53" s="38">
        <f t="shared" si="0"/>
        <v>3611.0944</v>
      </c>
      <c r="J53" s="43">
        <f t="shared" si="7"/>
        <v>3259.9019874999999</v>
      </c>
      <c r="K53" s="43">
        <f t="shared" si="8"/>
        <v>2188.9056</v>
      </c>
      <c r="L53" s="43">
        <f t="shared" si="9"/>
        <v>2540.0980125000001</v>
      </c>
      <c r="M53" s="43">
        <f t="shared" si="1"/>
        <v>0.56205206681034481</v>
      </c>
      <c r="N53" s="43">
        <f t="shared" si="10"/>
        <v>0.62260248275862073</v>
      </c>
      <c r="O53" s="44">
        <f t="shared" si="2"/>
        <v>0.10773097284723208</v>
      </c>
      <c r="P53" s="45">
        <v>17661</v>
      </c>
      <c r="Q53" s="45">
        <v>31441</v>
      </c>
      <c r="R53" s="62"/>
      <c r="S53" s="62"/>
      <c r="T53" s="45">
        <v>64110</v>
      </c>
      <c r="U53" s="45">
        <v>95604</v>
      </c>
      <c r="V53" s="45">
        <f>53823+53633</f>
        <v>107456</v>
      </c>
      <c r="W53" s="45"/>
      <c r="X53" s="45">
        <v>150.69</v>
      </c>
      <c r="Y53" s="45"/>
      <c r="Z53" s="45"/>
      <c r="AA53" s="45"/>
      <c r="AB53" s="45">
        <v>24108</v>
      </c>
      <c r="AC53" s="46">
        <f>IFERROR(AD53/E53,0)</f>
        <v>3259.9019874999999</v>
      </c>
      <c r="AD53" s="47">
        <f t="shared" si="3"/>
        <v>443346.6703</v>
      </c>
      <c r="AE53" s="50">
        <v>252</v>
      </c>
      <c r="AF53" s="49"/>
      <c r="AG53" s="50">
        <v>108</v>
      </c>
      <c r="AH53" s="51"/>
      <c r="AI53" s="50">
        <v>525</v>
      </c>
      <c r="AJ53" s="50">
        <v>760</v>
      </c>
      <c r="AK53" s="50">
        <f>350+360</f>
        <v>710</v>
      </c>
      <c r="AL53" s="46"/>
      <c r="AM53" s="38"/>
      <c r="AN53" s="52"/>
      <c r="AO53" s="50">
        <v>2.52</v>
      </c>
      <c r="AP53" s="46"/>
      <c r="AQ53" s="52">
        <v>155</v>
      </c>
      <c r="AR53" s="53">
        <f t="shared" si="4"/>
        <v>3611.0944</v>
      </c>
      <c r="AS53" s="54">
        <f>AR53*E53</f>
        <v>491108.83840000001</v>
      </c>
      <c r="AT53" s="43">
        <f t="shared" si="5"/>
        <v>351.19241250000005</v>
      </c>
      <c r="AU53" s="41">
        <f>IFERROR(AT53*E53,0)</f>
        <v>47762.16810000001</v>
      </c>
      <c r="AV53" s="38" t="str">
        <f>D53</f>
        <v>M30</v>
      </c>
      <c r="AW53" s="38">
        <f>P53/E53</f>
        <v>129.86029411764707</v>
      </c>
      <c r="AX53" s="38">
        <f>Q53/E53</f>
        <v>231.18382352941177</v>
      </c>
      <c r="AY53" s="38">
        <f>R53/E53</f>
        <v>0</v>
      </c>
      <c r="AZ53" s="38">
        <f>S53/E53</f>
        <v>0</v>
      </c>
      <c r="BA53" s="38">
        <f>T53/E53</f>
        <v>471.39705882352939</v>
      </c>
      <c r="BB53" s="38">
        <f>U53/E53</f>
        <v>702.97058823529414</v>
      </c>
      <c r="BC53" s="38">
        <f>V53/E53</f>
        <v>790.11764705882354</v>
      </c>
      <c r="BD53" s="38"/>
      <c r="BE53" s="38">
        <f>X53/E53</f>
        <v>1.1080147058823528</v>
      </c>
      <c r="BF53" s="38">
        <f>Y53/E53</f>
        <v>0</v>
      </c>
      <c r="BG53" s="38">
        <f>AB53/E53</f>
        <v>177.26470588235293</v>
      </c>
      <c r="BH53" s="55">
        <f>Z53/E53</f>
        <v>0</v>
      </c>
      <c r="BI53" s="38"/>
      <c r="BJ53" s="38">
        <f t="shared" si="12"/>
        <v>2503.9021323529414</v>
      </c>
    </row>
    <row r="54" spans="1:62" ht="18.75">
      <c r="A54" s="36">
        <v>45723</v>
      </c>
      <c r="B54" s="37" t="s">
        <v>45</v>
      </c>
      <c r="C54" s="72"/>
      <c r="D54" s="39" t="s">
        <v>43</v>
      </c>
      <c r="E54" s="66">
        <v>6</v>
      </c>
      <c r="F54" s="73"/>
      <c r="G54" s="37" t="s">
        <v>46</v>
      </c>
      <c r="H54" s="42">
        <v>6000</v>
      </c>
      <c r="I54" s="72">
        <f t="shared" si="0"/>
        <v>4033.4050000000002</v>
      </c>
      <c r="J54" s="74">
        <f t="shared" si="7"/>
        <v>3543.2324421052635</v>
      </c>
      <c r="K54" s="74">
        <f t="shared" si="8"/>
        <v>1966.5949999999998</v>
      </c>
      <c r="L54" s="74">
        <f t="shared" si="9"/>
        <v>2456.7675578947365</v>
      </c>
      <c r="M54" s="74">
        <f t="shared" si="1"/>
        <v>0.59053874035087728</v>
      </c>
      <c r="N54" s="74">
        <f t="shared" si="10"/>
        <v>0.67223416666666669</v>
      </c>
      <c r="O54" s="75">
        <f t="shared" si="2"/>
        <v>0.13834050288935976</v>
      </c>
      <c r="P54" s="71">
        <v>1498.1052631578946</v>
      </c>
      <c r="Q54" s="71">
        <v>663.78947368421052</v>
      </c>
      <c r="R54" s="71">
        <v>0</v>
      </c>
      <c r="S54" s="71">
        <v>0</v>
      </c>
      <c r="T54" s="71">
        <v>2646.9473684210525</v>
      </c>
      <c r="U54" s="71">
        <v>3970.105263157895</v>
      </c>
      <c r="V54" s="71">
        <v>5178.3157894736842</v>
      </c>
      <c r="W54" s="71">
        <v>0</v>
      </c>
      <c r="X54" s="71">
        <v>9.7010526315789463</v>
      </c>
      <c r="Y54" s="71">
        <v>0</v>
      </c>
      <c r="Z54" s="71">
        <v>0</v>
      </c>
      <c r="AA54" s="71">
        <v>0</v>
      </c>
      <c r="AB54" s="71">
        <v>1046.5263157894738</v>
      </c>
      <c r="AC54" s="76">
        <f>IFERROR(AD54/E54,0)</f>
        <v>3543.2324421052635</v>
      </c>
      <c r="AD54" s="77">
        <f t="shared" si="3"/>
        <v>21259.394652631581</v>
      </c>
      <c r="AE54" s="48">
        <v>380</v>
      </c>
      <c r="AF54" s="78"/>
      <c r="AG54" s="50">
        <v>0</v>
      </c>
      <c r="AH54" s="79"/>
      <c r="AI54" s="50">
        <v>495</v>
      </c>
      <c r="AJ54" s="50">
        <v>745</v>
      </c>
      <c r="AK54" s="50">
        <f>380+380</f>
        <v>760</v>
      </c>
      <c r="AL54" s="76"/>
      <c r="AM54" s="72"/>
      <c r="AN54" s="52">
        <v>2.4700000000000002</v>
      </c>
      <c r="AO54" s="50"/>
      <c r="AP54" s="76"/>
      <c r="AQ54" s="52">
        <v>144</v>
      </c>
      <c r="AR54" s="53">
        <f t="shared" si="4"/>
        <v>4033.4050000000002</v>
      </c>
      <c r="AS54" s="54">
        <f>AR54*E54</f>
        <v>24200.43</v>
      </c>
      <c r="AT54" s="43">
        <f t="shared" si="5"/>
        <v>490.17255789473666</v>
      </c>
      <c r="AU54" s="41">
        <f>IFERROR(AT54*E54,0)</f>
        <v>2941.0353473684199</v>
      </c>
      <c r="AV54" s="38" t="str">
        <f>D54</f>
        <v>M30</v>
      </c>
      <c r="AW54" s="38">
        <f>P54/E54</f>
        <v>249.68421052631575</v>
      </c>
      <c r="AX54" s="38">
        <f>Q54/E54</f>
        <v>110.63157894736842</v>
      </c>
      <c r="AY54" s="38">
        <f>R54/E54</f>
        <v>0</v>
      </c>
      <c r="AZ54" s="38">
        <f>S54/E54</f>
        <v>0</v>
      </c>
      <c r="BA54" s="38">
        <f>T54/E54</f>
        <v>441.15789473684208</v>
      </c>
      <c r="BB54" s="38">
        <f>U54/E54</f>
        <v>661.68421052631584</v>
      </c>
      <c r="BC54" s="38">
        <f>V54/E54</f>
        <v>863.0526315789474</v>
      </c>
      <c r="BD54" s="38"/>
      <c r="BE54" s="38">
        <f>X54/E54</f>
        <v>1.6168421052631576</v>
      </c>
      <c r="BF54" s="38">
        <f>Y54/E54</f>
        <v>0</v>
      </c>
      <c r="BG54" s="38">
        <f>AB54/E54</f>
        <v>174.42105263157896</v>
      </c>
      <c r="BH54" s="55">
        <f>Z54/E54</f>
        <v>0</v>
      </c>
      <c r="BI54" s="38"/>
      <c r="BJ54" s="38">
        <f t="shared" si="12"/>
        <v>2502.2484210526318</v>
      </c>
    </row>
    <row r="55" spans="1:62" ht="18.75">
      <c r="A55" s="36">
        <v>45723</v>
      </c>
      <c r="B55" s="37" t="s">
        <v>57</v>
      </c>
      <c r="C55" s="72"/>
      <c r="D55" s="39" t="s">
        <v>43</v>
      </c>
      <c r="E55" s="66">
        <v>3.5</v>
      </c>
      <c r="F55" s="73"/>
      <c r="G55" s="37" t="s">
        <v>58</v>
      </c>
      <c r="H55" s="42">
        <v>5700</v>
      </c>
      <c r="I55" s="72">
        <f t="shared" si="0"/>
        <v>3720.4300000000003</v>
      </c>
      <c r="J55" s="74">
        <f t="shared" si="7"/>
        <v>3543.2324421052626</v>
      </c>
      <c r="K55" s="74">
        <f t="shared" si="8"/>
        <v>1979.5699999999997</v>
      </c>
      <c r="L55" s="74">
        <f t="shared" si="9"/>
        <v>2156.7675578947374</v>
      </c>
      <c r="M55" s="74">
        <f t="shared" si="1"/>
        <v>0.62161972668513377</v>
      </c>
      <c r="N55" s="74">
        <f t="shared" si="10"/>
        <v>0.65270701754385974</v>
      </c>
      <c r="O55" s="75">
        <f t="shared" si="2"/>
        <v>5.0010142092019663E-2</v>
      </c>
      <c r="P55" s="71">
        <v>873.8947368421052</v>
      </c>
      <c r="Q55" s="71">
        <v>387.21052631578948</v>
      </c>
      <c r="R55" s="71">
        <v>0</v>
      </c>
      <c r="S55" s="71">
        <v>0</v>
      </c>
      <c r="T55" s="71">
        <v>1544.0526315789473</v>
      </c>
      <c r="U55" s="71">
        <v>2315.8947368421054</v>
      </c>
      <c r="V55" s="71">
        <v>3020.6842105263158</v>
      </c>
      <c r="W55" s="71">
        <v>0</v>
      </c>
      <c r="X55" s="71">
        <v>5.6589473684210523</v>
      </c>
      <c r="Y55" s="71">
        <v>0</v>
      </c>
      <c r="Z55" s="71">
        <v>0</v>
      </c>
      <c r="AA55" s="71">
        <v>0</v>
      </c>
      <c r="AB55" s="71">
        <v>610.47368421052636</v>
      </c>
      <c r="AC55" s="76">
        <f>IFERROR(AD55/E55,0)</f>
        <v>3543.2324421052626</v>
      </c>
      <c r="AD55" s="77">
        <f t="shared" si="3"/>
        <v>12401.31354736842</v>
      </c>
      <c r="AE55" s="48">
        <v>270</v>
      </c>
      <c r="AF55" s="78"/>
      <c r="AG55" s="50">
        <v>110</v>
      </c>
      <c r="AH55" s="79"/>
      <c r="AI55" s="50">
        <v>515</v>
      </c>
      <c r="AJ55" s="50">
        <v>750</v>
      </c>
      <c r="AK55" s="50">
        <f>300+350</f>
        <v>650</v>
      </c>
      <c r="AL55" s="76"/>
      <c r="AM55" s="72"/>
      <c r="AN55" s="52">
        <v>2.54</v>
      </c>
      <c r="AO55" s="50"/>
      <c r="AP55" s="76"/>
      <c r="AQ55" s="52">
        <v>150</v>
      </c>
      <c r="AR55" s="53">
        <f t="shared" si="4"/>
        <v>3720.4300000000003</v>
      </c>
      <c r="AS55" s="54">
        <f>AR55*E55</f>
        <v>13021.505000000001</v>
      </c>
      <c r="AT55" s="43">
        <f t="shared" si="5"/>
        <v>177.19755789473766</v>
      </c>
      <c r="AU55" s="41">
        <f>IFERROR(AT55*E55,0)</f>
        <v>620.1914526315818</v>
      </c>
      <c r="AV55" s="38" t="str">
        <f>D55</f>
        <v>M30</v>
      </c>
      <c r="AW55" s="38">
        <f>P55/E55</f>
        <v>249.68421052631578</v>
      </c>
      <c r="AX55" s="38">
        <f>Q55/E55</f>
        <v>110.63157894736842</v>
      </c>
      <c r="AY55" s="38">
        <f>R55/E55</f>
        <v>0</v>
      </c>
      <c r="AZ55" s="38">
        <f>S55/E55</f>
        <v>0</v>
      </c>
      <c r="BA55" s="38">
        <f>T55/E55</f>
        <v>441.15789473684208</v>
      </c>
      <c r="BB55" s="38">
        <f>U55/E55</f>
        <v>661.68421052631584</v>
      </c>
      <c r="BC55" s="38">
        <f>V55/E55</f>
        <v>863.0526315789474</v>
      </c>
      <c r="BD55" s="38"/>
      <c r="BE55" s="38">
        <f>X55/E55</f>
        <v>1.6168421052631579</v>
      </c>
      <c r="BF55" s="38">
        <f>Y55/E55</f>
        <v>0</v>
      </c>
      <c r="BG55" s="38">
        <f>AB55/E55</f>
        <v>174.42105263157896</v>
      </c>
      <c r="BH55" s="55">
        <f>Z55/E55</f>
        <v>0</v>
      </c>
      <c r="BI55" s="38"/>
      <c r="BJ55" s="38">
        <f t="shared" si="12"/>
        <v>2502.2484210526318</v>
      </c>
    </row>
    <row r="56" spans="1:62" ht="18.75">
      <c r="A56" s="36">
        <v>45724</v>
      </c>
      <c r="B56" s="37" t="s">
        <v>63</v>
      </c>
      <c r="C56" s="72"/>
      <c r="D56" s="39" t="s">
        <v>40</v>
      </c>
      <c r="E56" s="40">
        <v>32</v>
      </c>
      <c r="F56" s="73"/>
      <c r="G56" s="37" t="s">
        <v>64</v>
      </c>
      <c r="H56" s="42">
        <v>5700</v>
      </c>
      <c r="I56" s="72">
        <f t="shared" si="0"/>
        <v>3533.3622000000005</v>
      </c>
      <c r="J56" s="74">
        <f t="shared" si="7"/>
        <v>3132.9582750000004</v>
      </c>
      <c r="K56" s="74">
        <f t="shared" si="8"/>
        <v>2166.6377999999995</v>
      </c>
      <c r="L56" s="74">
        <f t="shared" si="9"/>
        <v>2567.0417249999996</v>
      </c>
      <c r="M56" s="74">
        <f t="shared" si="1"/>
        <v>0.54964180263157902</v>
      </c>
      <c r="N56" s="74">
        <f t="shared" si="10"/>
        <v>0.61988810526315796</v>
      </c>
      <c r="O56" s="75">
        <f t="shared" si="2"/>
        <v>0.12780378474718113</v>
      </c>
      <c r="P56" s="71">
        <v>3595</v>
      </c>
      <c r="Q56" s="71">
        <v>6671</v>
      </c>
      <c r="T56" s="71">
        <v>15297</v>
      </c>
      <c r="U56" s="71">
        <v>22917</v>
      </c>
      <c r="V56" s="71">
        <f>12954+12949</f>
        <v>25903</v>
      </c>
      <c r="W56" s="71"/>
      <c r="X56" s="71">
        <v>35.04</v>
      </c>
      <c r="Y56" s="71"/>
      <c r="Z56" s="71"/>
      <c r="AA56" s="71"/>
      <c r="AB56" s="71">
        <v>5410</v>
      </c>
      <c r="AC56" s="46">
        <f>IFERROR(AD56/E56,0)</f>
        <v>3132.9582750000004</v>
      </c>
      <c r="AD56" s="47">
        <f t="shared" si="3"/>
        <v>100254.66480000001</v>
      </c>
      <c r="AE56" s="48">
        <v>216</v>
      </c>
      <c r="AF56" s="78"/>
      <c r="AG56" s="50">
        <v>144</v>
      </c>
      <c r="AH56" s="79"/>
      <c r="AI56" s="50">
        <v>495</v>
      </c>
      <c r="AJ56" s="50">
        <v>743</v>
      </c>
      <c r="AK56" s="50">
        <v>775</v>
      </c>
      <c r="AL56" s="76"/>
      <c r="AM56" s="72"/>
      <c r="AN56" s="52"/>
      <c r="AO56" s="50">
        <v>2.16</v>
      </c>
      <c r="AP56" s="76"/>
      <c r="AQ56" s="52">
        <v>155</v>
      </c>
      <c r="AR56" s="53">
        <f t="shared" si="4"/>
        <v>3533.3622000000005</v>
      </c>
      <c r="AS56" s="54">
        <f>AR56*E56</f>
        <v>113067.59040000002</v>
      </c>
      <c r="AT56" s="43">
        <f t="shared" si="5"/>
        <v>400.40392500000007</v>
      </c>
      <c r="AU56" s="41">
        <f>IFERROR(AT56*E56,0)</f>
        <v>12812.925600000002</v>
      </c>
      <c r="AV56" s="38" t="str">
        <f>D56</f>
        <v>M25</v>
      </c>
      <c r="AW56" s="38">
        <f>P56/E56</f>
        <v>112.34375</v>
      </c>
      <c r="AX56" s="38">
        <f>Q56/E56</f>
        <v>208.46875</v>
      </c>
      <c r="AY56" s="38">
        <f>R56/E56</f>
        <v>0</v>
      </c>
      <c r="AZ56" s="38">
        <f>S56/E56</f>
        <v>0</v>
      </c>
      <c r="BA56" s="38">
        <f>T56/E56</f>
        <v>478.03125</v>
      </c>
      <c r="BB56" s="38">
        <f>U56/E56</f>
        <v>716.15625</v>
      </c>
      <c r="BC56" s="38">
        <f>V56/E56</f>
        <v>809.46875</v>
      </c>
      <c r="BD56" s="38"/>
      <c r="BE56" s="38">
        <f>X56/E56</f>
        <v>1.095</v>
      </c>
      <c r="BF56" s="38">
        <f>Y56/E56</f>
        <v>0</v>
      </c>
      <c r="BG56" s="38">
        <f>AB56/E56</f>
        <v>169.0625</v>
      </c>
      <c r="BH56" s="55">
        <f>Z56/E56</f>
        <v>0</v>
      </c>
      <c r="BI56" s="38"/>
      <c r="BJ56" s="38">
        <f t="shared" si="12"/>
        <v>2494.6262499999998</v>
      </c>
    </row>
    <row r="57" spans="1:62" ht="18.75">
      <c r="A57" s="36">
        <v>45724</v>
      </c>
      <c r="B57" s="37" t="s">
        <v>47</v>
      </c>
      <c r="C57" s="72"/>
      <c r="D57" s="39" t="s">
        <v>43</v>
      </c>
      <c r="E57" s="66">
        <v>47</v>
      </c>
      <c r="F57" s="73"/>
      <c r="G57" s="37" t="s">
        <v>78</v>
      </c>
      <c r="H57" s="42">
        <v>5700</v>
      </c>
      <c r="I57" s="72">
        <f t="shared" si="0"/>
        <v>3886.9700000000003</v>
      </c>
      <c r="J57" s="74">
        <f t="shared" si="7"/>
        <v>3271.0819978723407</v>
      </c>
      <c r="K57" s="74">
        <f t="shared" si="8"/>
        <v>1813.0299999999997</v>
      </c>
      <c r="L57" s="74">
        <f t="shared" si="9"/>
        <v>2428.9180021276593</v>
      </c>
      <c r="M57" s="74">
        <f t="shared" si="1"/>
        <v>0.57387403471444576</v>
      </c>
      <c r="N57" s="74">
        <f t="shared" si="10"/>
        <v>0.68192456140350877</v>
      </c>
      <c r="O57" s="75">
        <f t="shared" si="2"/>
        <v>0.18828265464707411</v>
      </c>
      <c r="P57" s="71">
        <v>6120</v>
      </c>
      <c r="Q57" s="71">
        <v>10833</v>
      </c>
      <c r="R57" s="81"/>
      <c r="S57" s="81"/>
      <c r="T57" s="71">
        <v>22457</v>
      </c>
      <c r="U57" s="71">
        <v>32897</v>
      </c>
      <c r="V57" s="71">
        <f>18707+18771</f>
        <v>37478</v>
      </c>
      <c r="W57" s="71"/>
      <c r="X57" s="71">
        <v>53.07</v>
      </c>
      <c r="Y57" s="71"/>
      <c r="Z57" s="71"/>
      <c r="AA57" s="71"/>
      <c r="AB57" s="71">
        <v>8687</v>
      </c>
      <c r="AC57" s="76">
        <f>IFERROR(AD57/E57,0)</f>
        <v>3271.0819978723407</v>
      </c>
      <c r="AD57" s="77">
        <f t="shared" si="3"/>
        <v>153740.85390000002</v>
      </c>
      <c r="AE57" s="48">
        <v>320</v>
      </c>
      <c r="AF57" s="78"/>
      <c r="AG57" s="50">
        <v>80</v>
      </c>
      <c r="AH57" s="79"/>
      <c r="AI57" s="50">
        <v>515</v>
      </c>
      <c r="AJ57" s="50">
        <v>780</v>
      </c>
      <c r="AK57" s="50">
        <f>360+300</f>
        <v>660</v>
      </c>
      <c r="AL57" s="76"/>
      <c r="AM57" s="72"/>
      <c r="AN57" s="52">
        <v>2</v>
      </c>
      <c r="AO57" s="50"/>
      <c r="AP57" s="76"/>
      <c r="AQ57" s="52">
        <v>152</v>
      </c>
      <c r="AR57" s="53">
        <f t="shared" si="4"/>
        <v>3886.9700000000003</v>
      </c>
      <c r="AS57" s="54">
        <f>AR57*E57</f>
        <v>182687.59000000003</v>
      </c>
      <c r="AT57" s="43">
        <f t="shared" si="5"/>
        <v>615.88800212765955</v>
      </c>
      <c r="AU57" s="41">
        <f>IFERROR(AT57*E57,0)</f>
        <v>28946.736099999998</v>
      </c>
      <c r="AV57" s="38" t="str">
        <f>D57</f>
        <v>M30</v>
      </c>
      <c r="AW57" s="38">
        <f>P57/E57</f>
        <v>130.21276595744681</v>
      </c>
      <c r="AX57" s="38">
        <f>Q57/E57</f>
        <v>230.48936170212767</v>
      </c>
      <c r="AY57" s="38">
        <f>R57/E57</f>
        <v>0</v>
      </c>
      <c r="AZ57" s="38">
        <f>S57/E57</f>
        <v>0</v>
      </c>
      <c r="BA57" s="38">
        <f>T57/E57</f>
        <v>477.80851063829789</v>
      </c>
      <c r="BB57" s="38">
        <f>U57/E57</f>
        <v>699.936170212766</v>
      </c>
      <c r="BC57" s="38">
        <f>V57/E57</f>
        <v>797.40425531914889</v>
      </c>
      <c r="BD57" s="38"/>
      <c r="BE57" s="38">
        <f>X57/E57</f>
        <v>1.1291489361702127</v>
      </c>
      <c r="BF57" s="38">
        <f>Y57/E57</f>
        <v>0</v>
      </c>
      <c r="BG57" s="38">
        <f>AB57/E57</f>
        <v>184.82978723404256</v>
      </c>
      <c r="BH57" s="55">
        <f>Z57/E57</f>
        <v>0</v>
      </c>
      <c r="BI57" s="38"/>
      <c r="BJ57" s="38">
        <f t="shared" si="12"/>
        <v>2521.81</v>
      </c>
    </row>
    <row r="58" spans="1:62" ht="18.75">
      <c r="A58" s="36">
        <v>45724</v>
      </c>
      <c r="B58" s="37" t="s">
        <v>47</v>
      </c>
      <c r="C58" s="72"/>
      <c r="D58" s="39" t="s">
        <v>43</v>
      </c>
      <c r="E58" s="66">
        <v>33</v>
      </c>
      <c r="F58" s="73"/>
      <c r="G58" s="37" t="s">
        <v>78</v>
      </c>
      <c r="H58" s="42">
        <v>5700</v>
      </c>
      <c r="I58" s="72">
        <f t="shared" si="0"/>
        <v>3886.9700000000003</v>
      </c>
      <c r="J58" s="74">
        <f t="shared" si="7"/>
        <v>3661.0459969696972</v>
      </c>
      <c r="K58" s="74">
        <f t="shared" si="8"/>
        <v>1813.0299999999997</v>
      </c>
      <c r="L58" s="74">
        <f t="shared" si="9"/>
        <v>2038.9540030303028</v>
      </c>
      <c r="M58" s="74">
        <f t="shared" si="1"/>
        <v>0.64228877139819252</v>
      </c>
      <c r="N58" s="74">
        <f t="shared" si="10"/>
        <v>0.68192456140350877</v>
      </c>
      <c r="O58" s="75">
        <f t="shared" si="2"/>
        <v>6.1710233418892667E-2</v>
      </c>
      <c r="P58" s="71">
        <v>8767</v>
      </c>
      <c r="Q58" s="71">
        <v>4403</v>
      </c>
      <c r="R58" s="81"/>
      <c r="S58" s="81"/>
      <c r="T58" s="71">
        <v>16077</v>
      </c>
      <c r="U58" s="71">
        <v>23373</v>
      </c>
      <c r="V58" s="71">
        <f>11903+11913</f>
        <v>23816</v>
      </c>
      <c r="W58" s="71"/>
      <c r="X58" s="71">
        <v>59.07</v>
      </c>
      <c r="Y58" s="71"/>
      <c r="Z58" s="71"/>
      <c r="AA58" s="71"/>
      <c r="AB58" s="71">
        <v>6310</v>
      </c>
      <c r="AC58" s="76">
        <f>IFERROR(AD58/E58,0)</f>
        <v>3661.0459969696972</v>
      </c>
      <c r="AD58" s="77">
        <f t="shared" si="3"/>
        <v>120814.51790000001</v>
      </c>
      <c r="AE58" s="48">
        <v>320</v>
      </c>
      <c r="AF58" s="78"/>
      <c r="AG58" s="50">
        <v>80</v>
      </c>
      <c r="AH58" s="79"/>
      <c r="AI58" s="50">
        <v>515</v>
      </c>
      <c r="AJ58" s="50">
        <v>780</v>
      </c>
      <c r="AK58" s="50">
        <f>360+300</f>
        <v>660</v>
      </c>
      <c r="AL58" s="76"/>
      <c r="AM58" s="72"/>
      <c r="AN58" s="52">
        <v>2</v>
      </c>
      <c r="AO58" s="50"/>
      <c r="AP58" s="76"/>
      <c r="AQ58" s="52">
        <v>152</v>
      </c>
      <c r="AR58" s="53">
        <f t="shared" si="4"/>
        <v>3886.9700000000003</v>
      </c>
      <c r="AS58" s="54">
        <f>AR58*E58</f>
        <v>128270.01000000001</v>
      </c>
      <c r="AT58" s="43">
        <f t="shared" si="5"/>
        <v>225.92400303030308</v>
      </c>
      <c r="AU58" s="41">
        <f>IFERROR(AT58*E58,0)</f>
        <v>7455.4921000000013</v>
      </c>
      <c r="AV58" s="38" t="str">
        <f>D58</f>
        <v>M30</v>
      </c>
      <c r="AW58" s="38">
        <f>P58/E58</f>
        <v>265.66666666666669</v>
      </c>
      <c r="AX58" s="38">
        <f>Q58/E58</f>
        <v>133.42424242424244</v>
      </c>
      <c r="AY58" s="38">
        <f>R58/E58</f>
        <v>0</v>
      </c>
      <c r="AZ58" s="38">
        <f>S58/E58</f>
        <v>0</v>
      </c>
      <c r="BA58" s="38">
        <f>T58/E58</f>
        <v>487.18181818181819</v>
      </c>
      <c r="BB58" s="38">
        <f>U58/E58</f>
        <v>708.27272727272725</v>
      </c>
      <c r="BC58" s="38">
        <f>V58/E58</f>
        <v>721.69696969696975</v>
      </c>
      <c r="BD58" s="38"/>
      <c r="BE58" s="38">
        <f>X58/E58</f>
        <v>1.79</v>
      </c>
      <c r="BF58" s="38">
        <f>Y58/E58</f>
        <v>0</v>
      </c>
      <c r="BG58" s="38">
        <f>AB58/E58</f>
        <v>191.21212121212122</v>
      </c>
      <c r="BH58" s="55">
        <f>Z58/E58</f>
        <v>0</v>
      </c>
      <c r="BI58" s="38"/>
      <c r="BJ58" s="38">
        <f t="shared" si="12"/>
        <v>2509.244545454545</v>
      </c>
    </row>
    <row r="59" spans="1:62" ht="18.75">
      <c r="A59" s="36">
        <v>45724</v>
      </c>
      <c r="B59" s="37" t="s">
        <v>45</v>
      </c>
      <c r="C59" s="72"/>
      <c r="D59" s="39" t="s">
        <v>43</v>
      </c>
      <c r="E59" s="66">
        <v>70</v>
      </c>
      <c r="F59" s="73"/>
      <c r="G59" s="37" t="s">
        <v>46</v>
      </c>
      <c r="H59" s="42">
        <v>6000</v>
      </c>
      <c r="I59" s="72">
        <f t="shared" si="0"/>
        <v>4033.4050000000002</v>
      </c>
      <c r="J59" s="74">
        <f t="shared" si="7"/>
        <v>3531.1575900000003</v>
      </c>
      <c r="K59" s="74">
        <f t="shared" si="8"/>
        <v>1966.5949999999998</v>
      </c>
      <c r="L59" s="74">
        <f t="shared" si="9"/>
        <v>2468.8424099999997</v>
      </c>
      <c r="M59" s="74">
        <f t="shared" si="1"/>
        <v>0.58852626500000005</v>
      </c>
      <c r="N59" s="74">
        <f t="shared" si="10"/>
        <v>0.67223416666666669</v>
      </c>
      <c r="O59" s="75">
        <f t="shared" si="2"/>
        <v>0.1422330771705943</v>
      </c>
      <c r="P59" s="71">
        <v>17505</v>
      </c>
      <c r="Q59" s="71">
        <v>7749</v>
      </c>
      <c r="R59" s="81"/>
      <c r="S59" s="81"/>
      <c r="T59" s="71">
        <v>34087</v>
      </c>
      <c r="U59" s="71">
        <v>50389</v>
      </c>
      <c r="V59" s="71">
        <f>26090+26217</f>
        <v>52307</v>
      </c>
      <c r="W59" s="71"/>
      <c r="X59" s="71">
        <v>107.89</v>
      </c>
      <c r="Y59" s="71"/>
      <c r="Z59" s="71"/>
      <c r="AA59" s="71"/>
      <c r="AB59" s="71">
        <v>12368</v>
      </c>
      <c r="AC59" s="76">
        <f>IFERROR(AD59/E59,0)</f>
        <v>3531.1575900000003</v>
      </c>
      <c r="AD59" s="77">
        <f t="shared" si="3"/>
        <v>247181.0313</v>
      </c>
      <c r="AE59" s="48">
        <v>380</v>
      </c>
      <c r="AF59" s="78"/>
      <c r="AG59" s="50">
        <v>0</v>
      </c>
      <c r="AH59" s="79"/>
      <c r="AI59" s="50">
        <v>495</v>
      </c>
      <c r="AJ59" s="50">
        <v>745</v>
      </c>
      <c r="AK59" s="50">
        <f>380+380</f>
        <v>760</v>
      </c>
      <c r="AL59" s="76"/>
      <c r="AM59" s="72"/>
      <c r="AN59" s="52">
        <v>2.4700000000000002</v>
      </c>
      <c r="AO59" s="50"/>
      <c r="AP59" s="76"/>
      <c r="AQ59" s="52">
        <v>144</v>
      </c>
      <c r="AR59" s="53">
        <f t="shared" si="4"/>
        <v>4033.4050000000002</v>
      </c>
      <c r="AS59" s="54">
        <f>AR59*E59</f>
        <v>282338.35000000003</v>
      </c>
      <c r="AT59" s="43">
        <f t="shared" si="5"/>
        <v>502.24740999999995</v>
      </c>
      <c r="AU59" s="41">
        <f>IFERROR(AT59*E59,0)</f>
        <v>35157.318699999996</v>
      </c>
      <c r="AV59" s="38" t="str">
        <f>D59</f>
        <v>M30</v>
      </c>
      <c r="AW59" s="38">
        <f>P59/E59</f>
        <v>250.07142857142858</v>
      </c>
      <c r="AX59" s="38">
        <f>Q59/E59</f>
        <v>110.7</v>
      </c>
      <c r="AY59" s="38">
        <f>R59/E59</f>
        <v>0</v>
      </c>
      <c r="AZ59" s="38">
        <f>S59/E59</f>
        <v>0</v>
      </c>
      <c r="BA59" s="38">
        <f>T59/E59</f>
        <v>486.95714285714286</v>
      </c>
      <c r="BB59" s="38">
        <f>U59/E59</f>
        <v>719.84285714285716</v>
      </c>
      <c r="BC59" s="38">
        <f>V59/E59</f>
        <v>747.24285714285713</v>
      </c>
      <c r="BD59" s="38"/>
      <c r="BE59" s="38">
        <f>X59/E59</f>
        <v>1.5412857142857144</v>
      </c>
      <c r="BF59" s="38">
        <f>Y59/E59</f>
        <v>0</v>
      </c>
      <c r="BG59" s="38">
        <f>AB59/E59</f>
        <v>176.68571428571428</v>
      </c>
      <c r="BH59" s="55">
        <f>Z59/E59</f>
        <v>0</v>
      </c>
      <c r="BI59" s="38"/>
      <c r="BJ59" s="38">
        <f t="shared" si="12"/>
        <v>2493.0412857142856</v>
      </c>
    </row>
    <row r="60" spans="1:62" ht="18.75">
      <c r="A60" s="36">
        <v>45724</v>
      </c>
      <c r="B60" s="37" t="s">
        <v>47</v>
      </c>
      <c r="C60" s="72"/>
      <c r="D60" s="39" t="s">
        <v>48</v>
      </c>
      <c r="E60" s="66">
        <v>61</v>
      </c>
      <c r="F60" s="73"/>
      <c r="G60" s="37" t="s">
        <v>49</v>
      </c>
      <c r="H60" s="42">
        <v>6600</v>
      </c>
      <c r="I60" s="72">
        <f t="shared" si="0"/>
        <v>4390.09</v>
      </c>
      <c r="J60" s="74">
        <f t="shared" si="7"/>
        <v>4235.3045245901649</v>
      </c>
      <c r="K60" s="74">
        <f t="shared" si="8"/>
        <v>2209.91</v>
      </c>
      <c r="L60" s="74">
        <f>H60-J60</f>
        <v>2364.6954754098351</v>
      </c>
      <c r="M60" s="74">
        <f t="shared" si="1"/>
        <v>0.64171280675608555</v>
      </c>
      <c r="N60" s="74">
        <f t="shared" si="10"/>
        <v>0.66516515151515154</v>
      </c>
      <c r="O60" s="75">
        <f t="shared" si="2"/>
        <v>3.6546480781051646E-2</v>
      </c>
      <c r="P60" s="71">
        <v>23099</v>
      </c>
      <c r="Q60" s="71">
        <v>7373</v>
      </c>
      <c r="R60" s="81"/>
      <c r="S60" s="81"/>
      <c r="T60" s="71">
        <v>29333</v>
      </c>
      <c r="U60" s="71">
        <v>42835</v>
      </c>
      <c r="V60" s="71">
        <f>19855+19804</f>
        <v>39659</v>
      </c>
      <c r="W60" s="71"/>
      <c r="X60" s="71"/>
      <c r="Y60" s="71">
        <v>150.36000000000001</v>
      </c>
      <c r="Z60" s="71"/>
      <c r="AA60" s="71"/>
      <c r="AB60" s="71">
        <v>10124</v>
      </c>
      <c r="AC60" s="76">
        <f>IFERROR(AD60/E60,0)</f>
        <v>4235.3045245901649</v>
      </c>
      <c r="AD60" s="77">
        <f t="shared" si="3"/>
        <v>258353.57600000003</v>
      </c>
      <c r="AE60" s="48">
        <v>400</v>
      </c>
      <c r="AF60" s="78"/>
      <c r="AG60" s="50">
        <v>100</v>
      </c>
      <c r="AH60" s="79"/>
      <c r="AI60" s="50">
        <v>510</v>
      </c>
      <c r="AJ60" s="50">
        <v>750</v>
      </c>
      <c r="AK60" s="50">
        <f>295+300</f>
        <v>595</v>
      </c>
      <c r="AL60" s="76"/>
      <c r="AM60" s="72"/>
      <c r="AN60" s="52">
        <v>3.5</v>
      </c>
      <c r="AO60" s="50"/>
      <c r="AP60" s="76"/>
      <c r="AQ60" s="52">
        <v>150</v>
      </c>
      <c r="AR60" s="53">
        <f t="shared" si="4"/>
        <v>4390.09</v>
      </c>
      <c r="AS60" s="54">
        <f>AR60*E60</f>
        <v>267795.49</v>
      </c>
      <c r="AT60" s="43">
        <f t="shared" si="5"/>
        <v>154.78547540983527</v>
      </c>
      <c r="AU60" s="41">
        <f>IFERROR(AT60*E60,0)</f>
        <v>9441.9139999999516</v>
      </c>
      <c r="AV60" s="38" t="str">
        <f>D60</f>
        <v>M50</v>
      </c>
      <c r="AW60" s="38">
        <f>P60/E60</f>
        <v>378.67213114754099</v>
      </c>
      <c r="AX60" s="38">
        <f>Q60/E60</f>
        <v>120.8688524590164</v>
      </c>
      <c r="AY60" s="38">
        <f>R60/E60</f>
        <v>0</v>
      </c>
      <c r="AZ60" s="38">
        <f>S60/E60</f>
        <v>0</v>
      </c>
      <c r="BA60" s="38">
        <f>T60/E60</f>
        <v>480.86885245901641</v>
      </c>
      <c r="BB60" s="38">
        <f>U60/E60</f>
        <v>702.21311475409834</v>
      </c>
      <c r="BC60" s="38">
        <f>V60/E60</f>
        <v>650.14754098360652</v>
      </c>
      <c r="BD60" s="38"/>
      <c r="BE60" s="38">
        <f>X60/E60</f>
        <v>0</v>
      </c>
      <c r="BF60" s="38">
        <f>Y60/E60</f>
        <v>2.4649180327868856</v>
      </c>
      <c r="BG60" s="38">
        <f>AB60/E60</f>
        <v>165.96721311475409</v>
      </c>
      <c r="BH60" s="55">
        <f>Z60/E60</f>
        <v>0</v>
      </c>
      <c r="BI60" s="38"/>
      <c r="BJ60" s="38">
        <f t="shared" si="12"/>
        <v>2501.2026229508197</v>
      </c>
    </row>
    <row r="61" spans="1:62" ht="18.75">
      <c r="A61" s="36">
        <v>45725</v>
      </c>
      <c r="B61" s="37" t="s">
        <v>45</v>
      </c>
      <c r="C61" s="72"/>
      <c r="D61" s="39" t="s">
        <v>34</v>
      </c>
      <c r="E61" s="40">
        <v>18</v>
      </c>
      <c r="F61" s="73"/>
      <c r="G61" s="37" t="s">
        <v>69</v>
      </c>
      <c r="H61" s="42">
        <v>5400</v>
      </c>
      <c r="I61" s="72">
        <f t="shared" si="0"/>
        <v>3440.3942000000006</v>
      </c>
      <c r="J61" s="74">
        <f t="shared" si="7"/>
        <v>3053.5073222222218</v>
      </c>
      <c r="K61" s="74">
        <f t="shared" si="8"/>
        <v>1959.6057999999994</v>
      </c>
      <c r="L61" s="74">
        <f t="shared" ref="L61:L100" si="13">H61-J61</f>
        <v>2346.4926777777782</v>
      </c>
      <c r="M61" s="74">
        <f t="shared" si="1"/>
        <v>0.56546431893004112</v>
      </c>
      <c r="N61" s="74">
        <f t="shared" si="10"/>
        <v>0.63711003703703717</v>
      </c>
      <c r="O61" s="75">
        <f t="shared" si="2"/>
        <v>0.12670245620901857</v>
      </c>
      <c r="P61" s="71">
        <v>2325</v>
      </c>
      <c r="Q61" s="71">
        <v>2356</v>
      </c>
      <c r="R61" s="81"/>
      <c r="S61" s="81"/>
      <c r="T61" s="71">
        <v>8468</v>
      </c>
      <c r="U61" s="71">
        <v>12328</v>
      </c>
      <c r="V61" s="71">
        <f>8377+8299</f>
        <v>16676</v>
      </c>
      <c r="W61" s="71"/>
      <c r="X61" s="71">
        <v>18.739999999999998</v>
      </c>
      <c r="Y61" s="71"/>
      <c r="Z61" s="71"/>
      <c r="AA61" s="71"/>
      <c r="AB61" s="71">
        <v>3091</v>
      </c>
      <c r="AC61" s="76">
        <f>IFERROR(AD61/E61,0)</f>
        <v>3053.5073222222218</v>
      </c>
      <c r="AD61" s="77">
        <f t="shared" si="3"/>
        <v>54963.131799999996</v>
      </c>
      <c r="AE61" s="48">
        <v>280</v>
      </c>
      <c r="AF61" s="78"/>
      <c r="AG61" s="50">
        <v>0</v>
      </c>
      <c r="AH61" s="79"/>
      <c r="AI61" s="50">
        <v>480</v>
      </c>
      <c r="AJ61" s="50">
        <v>715</v>
      </c>
      <c r="AK61" s="50">
        <f>440+400</f>
        <v>840</v>
      </c>
      <c r="AL61" s="76"/>
      <c r="AM61" s="72"/>
      <c r="AN61" s="52"/>
      <c r="AO61" s="50">
        <v>1.96</v>
      </c>
      <c r="AP61" s="76"/>
      <c r="AQ61" s="52">
        <v>160</v>
      </c>
      <c r="AR61" s="53">
        <f t="shared" si="4"/>
        <v>3440.3942000000006</v>
      </c>
      <c r="AS61" s="54">
        <f>AR61*E61</f>
        <v>61927.095600000015</v>
      </c>
      <c r="AT61" s="43">
        <f t="shared" si="5"/>
        <v>386.88687777777886</v>
      </c>
      <c r="AU61" s="41">
        <f>IFERROR(AT61*E61,0)</f>
        <v>6963.9638000000195</v>
      </c>
      <c r="AV61" s="38" t="str">
        <f>D61</f>
        <v>M15</v>
      </c>
      <c r="AW61" s="38">
        <f>P61/E61</f>
        <v>129.16666666666666</v>
      </c>
      <c r="AX61" s="38">
        <f>Q61/E61</f>
        <v>130.88888888888889</v>
      </c>
      <c r="AY61" s="38">
        <f>R61/E61</f>
        <v>0</v>
      </c>
      <c r="AZ61" s="38">
        <f>S61/E61</f>
        <v>0</v>
      </c>
      <c r="BA61" s="38">
        <f>T61/E61</f>
        <v>470.44444444444446</v>
      </c>
      <c r="BB61" s="38">
        <f>U61/E61</f>
        <v>684.88888888888891</v>
      </c>
      <c r="BC61" s="38">
        <f>V61/E61</f>
        <v>926.44444444444446</v>
      </c>
      <c r="BD61" s="38"/>
      <c r="BE61" s="38">
        <f>X61/E61</f>
        <v>1.0411111111111111</v>
      </c>
      <c r="BF61" s="38">
        <f>Y61/E61</f>
        <v>0</v>
      </c>
      <c r="BG61" s="38">
        <f>AB61/E61</f>
        <v>171.72222222222223</v>
      </c>
      <c r="BH61" s="55">
        <f>Z61/E61</f>
        <v>0</v>
      </c>
      <c r="BI61" s="38"/>
      <c r="BJ61" s="38">
        <f t="shared" si="12"/>
        <v>2514.5966666666668</v>
      </c>
    </row>
    <row r="62" spans="1:62" ht="18.75">
      <c r="A62" s="36">
        <v>45725</v>
      </c>
      <c r="B62" s="37" t="s">
        <v>51</v>
      </c>
      <c r="C62" s="72"/>
      <c r="D62" s="39" t="s">
        <v>40</v>
      </c>
      <c r="E62" s="66">
        <v>7</v>
      </c>
      <c r="F62" s="73"/>
      <c r="G62" s="37" t="s">
        <v>41</v>
      </c>
      <c r="H62" s="42">
        <v>5600</v>
      </c>
      <c r="I62" s="72">
        <f t="shared" si="0"/>
        <v>3452.0828000000001</v>
      </c>
      <c r="J62" s="74">
        <f t="shared" si="7"/>
        <v>3127.8800095238098</v>
      </c>
      <c r="K62" s="74">
        <f t="shared" si="8"/>
        <v>2147.9171999999999</v>
      </c>
      <c r="L62" s="74">
        <f t="shared" si="13"/>
        <v>2472.1199904761902</v>
      </c>
      <c r="M62" s="74">
        <f t="shared" si="1"/>
        <v>0.55855000170068037</v>
      </c>
      <c r="N62" s="74">
        <f t="shared" si="10"/>
        <v>0.61644335714285714</v>
      </c>
      <c r="O62" s="75">
        <f t="shared" si="2"/>
        <v>0.1036493693776785</v>
      </c>
      <c r="P62" s="71">
        <v>784.33333333333303</v>
      </c>
      <c r="Q62" s="71">
        <v>1460.6666666666665</v>
      </c>
      <c r="R62" s="71">
        <v>0</v>
      </c>
      <c r="S62" s="71">
        <v>0</v>
      </c>
      <c r="T62" s="71">
        <v>3337</v>
      </c>
      <c r="U62" s="71">
        <v>4880</v>
      </c>
      <c r="V62" s="71">
        <v>5776</v>
      </c>
      <c r="W62" s="71"/>
      <c r="X62" s="71">
        <v>7.7533333333333303</v>
      </c>
      <c r="Y62" s="71"/>
      <c r="Z62" s="71"/>
      <c r="AA62" s="71"/>
      <c r="AB62" s="71">
        <v>1153.6666666666699</v>
      </c>
      <c r="AC62" s="76">
        <f>IFERROR(AD62/E62,0)</f>
        <v>3127.8800095238098</v>
      </c>
      <c r="AD62" s="77">
        <f t="shared" si="3"/>
        <v>21895.160066666667</v>
      </c>
      <c r="AE62" s="48">
        <v>224</v>
      </c>
      <c r="AF62" s="78"/>
      <c r="AG62" s="50">
        <v>96</v>
      </c>
      <c r="AH62" s="79"/>
      <c r="AI62" s="50">
        <v>495</v>
      </c>
      <c r="AJ62" s="50">
        <v>740</v>
      </c>
      <c r="AK62" s="50">
        <v>800</v>
      </c>
      <c r="AL62" s="76"/>
      <c r="AM62" s="72"/>
      <c r="AN62" s="52"/>
      <c r="AO62" s="50">
        <v>2.2400000000000002</v>
      </c>
      <c r="AP62" s="76"/>
      <c r="AQ62" s="52">
        <v>155</v>
      </c>
      <c r="AR62" s="53">
        <f t="shared" si="4"/>
        <v>3452.0828000000001</v>
      </c>
      <c r="AS62" s="54">
        <f>AR62*E62</f>
        <v>24164.579600000001</v>
      </c>
      <c r="AT62" s="43">
        <f t="shared" si="5"/>
        <v>324.20279047619033</v>
      </c>
      <c r="AU62" s="41">
        <f>IFERROR(AT62*E62,0)</f>
        <v>2269.4195333333323</v>
      </c>
      <c r="AV62" s="38" t="str">
        <f>D62</f>
        <v>M25</v>
      </c>
      <c r="AW62" s="38">
        <f>P62/E62</f>
        <v>112.04761904761901</v>
      </c>
      <c r="AX62" s="38">
        <f>Q62/E62</f>
        <v>208.66666666666666</v>
      </c>
      <c r="AY62" s="38">
        <f>R62/E62</f>
        <v>0</v>
      </c>
      <c r="AZ62" s="38">
        <f>S62/E62</f>
        <v>0</v>
      </c>
      <c r="BA62" s="38">
        <f>T62/E62</f>
        <v>476.71428571428572</v>
      </c>
      <c r="BB62" s="38">
        <f>U62/E62</f>
        <v>697.14285714285711</v>
      </c>
      <c r="BC62" s="38">
        <f>V62/E62</f>
        <v>825.14285714285711</v>
      </c>
      <c r="BD62" s="38"/>
      <c r="BE62" s="38">
        <f>X62/E62</f>
        <v>1.1076190476190473</v>
      </c>
      <c r="BF62" s="38">
        <f>Y62/E62</f>
        <v>0</v>
      </c>
      <c r="BG62" s="38">
        <f>AB62/E62</f>
        <v>164.80952380952428</v>
      </c>
      <c r="BH62" s="55">
        <f>Z62/E62</f>
        <v>0</v>
      </c>
      <c r="BI62" s="38"/>
      <c r="BJ62" s="38">
        <f t="shared" si="12"/>
        <v>2485.6314285714288</v>
      </c>
    </row>
    <row r="63" spans="1:62" ht="18.75">
      <c r="A63" s="36">
        <v>45725</v>
      </c>
      <c r="B63" s="37" t="s">
        <v>79</v>
      </c>
      <c r="C63" s="72"/>
      <c r="D63" s="39" t="s">
        <v>40</v>
      </c>
      <c r="E63" s="66">
        <v>14</v>
      </c>
      <c r="F63" s="73"/>
      <c r="G63" s="37" t="s">
        <v>41</v>
      </c>
      <c r="H63" s="42">
        <v>5500</v>
      </c>
      <c r="I63" s="72">
        <f t="shared" si="0"/>
        <v>3452.0828000000001</v>
      </c>
      <c r="J63" s="74">
        <f t="shared" si="7"/>
        <v>3127.8800095238089</v>
      </c>
      <c r="K63" s="74">
        <f t="shared" si="8"/>
        <v>2047.9171999999999</v>
      </c>
      <c r="L63" s="74">
        <f t="shared" si="13"/>
        <v>2372.1199904761911</v>
      </c>
      <c r="M63" s="74">
        <f t="shared" si="1"/>
        <v>0.56870545627705615</v>
      </c>
      <c r="N63" s="74">
        <f t="shared" si="10"/>
        <v>0.62765141818181824</v>
      </c>
      <c r="O63" s="75">
        <f t="shared" si="2"/>
        <v>0.10364936937767905</v>
      </c>
      <c r="P63" s="71">
        <v>1568.6666666666667</v>
      </c>
      <c r="Q63" s="71">
        <v>2921.333333333333</v>
      </c>
      <c r="R63" s="71">
        <v>0</v>
      </c>
      <c r="S63" s="71">
        <v>0</v>
      </c>
      <c r="T63" s="71">
        <v>6674</v>
      </c>
      <c r="U63" s="71">
        <v>9760</v>
      </c>
      <c r="V63" s="71">
        <v>11552</v>
      </c>
      <c r="W63" s="71"/>
      <c r="X63" s="71">
        <v>15.506666666666668</v>
      </c>
      <c r="Y63" s="71"/>
      <c r="Z63" s="71"/>
      <c r="AA63" s="71"/>
      <c r="AB63" s="71">
        <v>2307.333333333333</v>
      </c>
      <c r="AC63" s="76">
        <f>IFERROR(AD63/E63,0)</f>
        <v>3127.8800095238089</v>
      </c>
      <c r="AD63" s="77">
        <f t="shared" si="3"/>
        <v>43790.320133333327</v>
      </c>
      <c r="AE63" s="48">
        <v>224</v>
      </c>
      <c r="AF63" s="78"/>
      <c r="AG63" s="50">
        <v>96</v>
      </c>
      <c r="AH63" s="79"/>
      <c r="AI63" s="50">
        <v>495</v>
      </c>
      <c r="AJ63" s="50">
        <v>740</v>
      </c>
      <c r="AK63" s="50">
        <v>800</v>
      </c>
      <c r="AL63" s="76"/>
      <c r="AM63" s="72"/>
      <c r="AN63" s="52"/>
      <c r="AO63" s="50">
        <v>2.2400000000000002</v>
      </c>
      <c r="AP63" s="76"/>
      <c r="AQ63" s="52">
        <v>155</v>
      </c>
      <c r="AR63" s="53">
        <f t="shared" si="4"/>
        <v>3452.0828000000001</v>
      </c>
      <c r="AS63" s="54">
        <f>AR63*E63</f>
        <v>48329.159200000002</v>
      </c>
      <c r="AT63" s="43">
        <f t="shared" si="5"/>
        <v>324.20279047619124</v>
      </c>
      <c r="AU63" s="41">
        <f>IFERROR(AT63*E63,0)</f>
        <v>4538.8390666666774</v>
      </c>
      <c r="AV63" s="38" t="str">
        <f>D63</f>
        <v>M25</v>
      </c>
      <c r="AW63" s="38">
        <f>P63/E63</f>
        <v>112.04761904761905</v>
      </c>
      <c r="AX63" s="38">
        <f>Q63/E63</f>
        <v>208.66666666666666</v>
      </c>
      <c r="AY63" s="38">
        <f>R63/E63</f>
        <v>0</v>
      </c>
      <c r="AZ63" s="38">
        <f>S63/E63</f>
        <v>0</v>
      </c>
      <c r="BA63" s="38">
        <f>T63/E63</f>
        <v>476.71428571428572</v>
      </c>
      <c r="BB63" s="38">
        <f>U63/E63</f>
        <v>697.14285714285711</v>
      </c>
      <c r="BC63" s="38">
        <f>V63/E63</f>
        <v>825.14285714285711</v>
      </c>
      <c r="BD63" s="38"/>
      <c r="BE63" s="38">
        <f>X63/E63</f>
        <v>1.1076190476190477</v>
      </c>
      <c r="BF63" s="38">
        <f>Y63/E63</f>
        <v>0</v>
      </c>
      <c r="BG63" s="38">
        <f>AB63/E63</f>
        <v>164.8095238095238</v>
      </c>
      <c r="BH63" s="55">
        <f>Z63/E63</f>
        <v>0</v>
      </c>
      <c r="BI63" s="38"/>
      <c r="BJ63" s="38">
        <f t="shared" si="12"/>
        <v>2485.6314285714284</v>
      </c>
    </row>
    <row r="64" spans="1:62" ht="18.75">
      <c r="A64" s="36">
        <v>45725</v>
      </c>
      <c r="B64" s="37" t="s">
        <v>79</v>
      </c>
      <c r="C64" s="72"/>
      <c r="D64" s="39" t="s">
        <v>40</v>
      </c>
      <c r="E64" s="66">
        <v>18</v>
      </c>
      <c r="F64" s="73"/>
      <c r="G64" s="37" t="s">
        <v>41</v>
      </c>
      <c r="H64" s="42">
        <v>5500</v>
      </c>
      <c r="I64" s="72">
        <f t="shared" si="0"/>
        <v>3452.0828000000001</v>
      </c>
      <c r="J64" s="74">
        <f t="shared" si="7"/>
        <v>3325.127927777778</v>
      </c>
      <c r="K64" s="74">
        <f t="shared" si="8"/>
        <v>2047.9171999999999</v>
      </c>
      <c r="L64" s="74">
        <f t="shared" si="13"/>
        <v>2174.872072222222</v>
      </c>
      <c r="M64" s="74">
        <f t="shared" si="1"/>
        <v>0.60456871414141422</v>
      </c>
      <c r="N64" s="74">
        <f t="shared" si="10"/>
        <v>0.62765141818181824</v>
      </c>
      <c r="O64" s="75">
        <f t="shared" si="2"/>
        <v>3.8180447483434882E-2</v>
      </c>
      <c r="P64" s="71">
        <v>3596</v>
      </c>
      <c r="Q64" s="71">
        <v>2168</v>
      </c>
      <c r="R64" s="71"/>
      <c r="S64" s="71"/>
      <c r="T64" s="71">
        <v>8779</v>
      </c>
      <c r="U64" s="71">
        <v>12729</v>
      </c>
      <c r="V64" s="71">
        <f>7230+7198</f>
        <v>14428</v>
      </c>
      <c r="W64" s="71"/>
      <c r="X64" s="71">
        <v>23.21</v>
      </c>
      <c r="Y64" s="71"/>
      <c r="Z64" s="71"/>
      <c r="AA64" s="71"/>
      <c r="AB64" s="71">
        <v>3211</v>
      </c>
      <c r="AC64" s="76">
        <f>IFERROR(AD64/E64,0)</f>
        <v>3325.127927777778</v>
      </c>
      <c r="AD64" s="77">
        <f t="shared" si="3"/>
        <v>59852.302700000007</v>
      </c>
      <c r="AE64" s="48">
        <v>224</v>
      </c>
      <c r="AF64" s="78"/>
      <c r="AG64" s="50">
        <v>96</v>
      </c>
      <c r="AH64" s="79"/>
      <c r="AI64" s="50">
        <v>495</v>
      </c>
      <c r="AJ64" s="50">
        <v>740</v>
      </c>
      <c r="AK64" s="50">
        <v>800</v>
      </c>
      <c r="AL64" s="76"/>
      <c r="AM64" s="72"/>
      <c r="AN64" s="52"/>
      <c r="AO64" s="50">
        <v>2.2400000000000002</v>
      </c>
      <c r="AP64" s="76"/>
      <c r="AQ64" s="52">
        <v>155</v>
      </c>
      <c r="AR64" s="53">
        <f t="shared" si="4"/>
        <v>3452.0828000000001</v>
      </c>
      <c r="AS64" s="54">
        <f>AR64*E64</f>
        <v>62137.490400000002</v>
      </c>
      <c r="AT64" s="43">
        <f t="shared" si="5"/>
        <v>126.95487222222209</v>
      </c>
      <c r="AU64" s="41">
        <f>IFERROR(AT64*E64,0)</f>
        <v>2285.1876999999977</v>
      </c>
      <c r="AV64" s="38" t="str">
        <f>D64</f>
        <v>M25</v>
      </c>
      <c r="AW64" s="38">
        <f>P64/E64</f>
        <v>199.77777777777777</v>
      </c>
      <c r="AX64" s="38">
        <f>Q64/E64</f>
        <v>120.44444444444444</v>
      </c>
      <c r="AY64" s="38">
        <f>R64/E64</f>
        <v>0</v>
      </c>
      <c r="AZ64" s="38">
        <f>S64/E64</f>
        <v>0</v>
      </c>
      <c r="BA64" s="38">
        <f>T64/E64</f>
        <v>487.72222222222223</v>
      </c>
      <c r="BB64" s="38">
        <f>U64/E64</f>
        <v>707.16666666666663</v>
      </c>
      <c r="BC64" s="38">
        <f>V64/E64</f>
        <v>801.55555555555554</v>
      </c>
      <c r="BD64" s="38"/>
      <c r="BE64" s="38">
        <f>X64/E64</f>
        <v>1.2894444444444444</v>
      </c>
      <c r="BF64" s="38">
        <f>Y64/E64</f>
        <v>0</v>
      </c>
      <c r="BG64" s="38">
        <f>AB64/E64</f>
        <v>178.38888888888889</v>
      </c>
      <c r="BH64" s="55">
        <f>Z64/E64</f>
        <v>0</v>
      </c>
      <c r="BI64" s="38"/>
      <c r="BJ64" s="38">
        <f t="shared" si="12"/>
        <v>2496.3449999999998</v>
      </c>
    </row>
    <row r="65" spans="1:62" ht="18.75">
      <c r="A65" s="36">
        <v>45725</v>
      </c>
      <c r="B65" s="37" t="s">
        <v>47</v>
      </c>
      <c r="C65" s="72"/>
      <c r="D65" s="39" t="s">
        <v>43</v>
      </c>
      <c r="E65" s="66">
        <v>6</v>
      </c>
      <c r="F65" s="73"/>
      <c r="G65" s="37" t="s">
        <v>78</v>
      </c>
      <c r="H65" s="42">
        <v>5700</v>
      </c>
      <c r="I65" s="72">
        <f t="shared" si="0"/>
        <v>3886.9700000000003</v>
      </c>
      <c r="J65" s="74">
        <f t="shared" si="7"/>
        <v>3267.380266666667</v>
      </c>
      <c r="K65" s="74">
        <f t="shared" si="8"/>
        <v>1813.0299999999997</v>
      </c>
      <c r="L65" s="74">
        <f t="shared" si="13"/>
        <v>2432.619733333333</v>
      </c>
      <c r="M65" s="74">
        <f t="shared" si="1"/>
        <v>0.57322460818713461</v>
      </c>
      <c r="N65" s="74">
        <f t="shared" si="10"/>
        <v>0.68192456140350877</v>
      </c>
      <c r="O65" s="75">
        <f t="shared" si="2"/>
        <v>0.18962890229040555</v>
      </c>
      <c r="P65" s="71">
        <v>781</v>
      </c>
      <c r="Q65" s="71">
        <v>1383</v>
      </c>
      <c r="R65" s="81"/>
      <c r="S65" s="81"/>
      <c r="T65" s="71">
        <v>2859</v>
      </c>
      <c r="U65" s="71">
        <v>4184</v>
      </c>
      <c r="V65" s="71">
        <f>2380+2406</f>
        <v>4786</v>
      </c>
      <c r="W65" s="71"/>
      <c r="X65" s="71">
        <v>6.78</v>
      </c>
      <c r="Y65" s="71"/>
      <c r="Z65" s="71"/>
      <c r="AA65" s="71"/>
      <c r="AB65" s="71">
        <v>1098</v>
      </c>
      <c r="AC65" s="76">
        <f>IFERROR(AD65/E65,0)</f>
        <v>3267.380266666667</v>
      </c>
      <c r="AD65" s="77">
        <f t="shared" si="3"/>
        <v>19604.281600000002</v>
      </c>
      <c r="AE65" s="48">
        <v>320</v>
      </c>
      <c r="AF65" s="78"/>
      <c r="AG65" s="50">
        <v>80</v>
      </c>
      <c r="AH65" s="79"/>
      <c r="AI65" s="50">
        <v>515</v>
      </c>
      <c r="AJ65" s="50">
        <v>780</v>
      </c>
      <c r="AK65" s="50">
        <f>360+300</f>
        <v>660</v>
      </c>
      <c r="AL65" s="76"/>
      <c r="AM65" s="72"/>
      <c r="AN65" s="52">
        <v>2</v>
      </c>
      <c r="AO65" s="50"/>
      <c r="AP65" s="76"/>
      <c r="AQ65" s="52">
        <v>152</v>
      </c>
      <c r="AR65" s="53">
        <f t="shared" si="4"/>
        <v>3886.9700000000003</v>
      </c>
      <c r="AS65" s="54">
        <f>AR65*E65</f>
        <v>23321.82</v>
      </c>
      <c r="AT65" s="43">
        <f t="shared" si="5"/>
        <v>619.58973333333324</v>
      </c>
      <c r="AU65" s="41">
        <f>IFERROR(AT65*E65,0)</f>
        <v>3717.5383999999995</v>
      </c>
      <c r="AV65" s="38" t="str">
        <f>D65</f>
        <v>M30</v>
      </c>
      <c r="AW65" s="38">
        <f>P65/E65</f>
        <v>130.16666666666666</v>
      </c>
      <c r="AX65" s="38">
        <f>Q65/E65</f>
        <v>230.5</v>
      </c>
      <c r="AY65" s="38">
        <f>R65/E65</f>
        <v>0</v>
      </c>
      <c r="AZ65" s="38">
        <f>S65/E65</f>
        <v>0</v>
      </c>
      <c r="BA65" s="38">
        <f>T65/E65</f>
        <v>476.5</v>
      </c>
      <c r="BB65" s="38">
        <f>U65/E65</f>
        <v>697.33333333333337</v>
      </c>
      <c r="BC65" s="38">
        <f>V65/E65</f>
        <v>797.66666666666663</v>
      </c>
      <c r="BD65" s="38"/>
      <c r="BE65" s="38">
        <f>X65/E65</f>
        <v>1.1300000000000001</v>
      </c>
      <c r="BF65" s="38">
        <f>Y65/E65</f>
        <v>0</v>
      </c>
      <c r="BG65" s="38">
        <f>AB65/E65</f>
        <v>183</v>
      </c>
      <c r="BH65" s="55">
        <f>Z65/E65</f>
        <v>0</v>
      </c>
      <c r="BI65" s="38"/>
      <c r="BJ65" s="38">
        <f t="shared" si="12"/>
        <v>2516.2966666666666</v>
      </c>
    </row>
    <row r="66" spans="1:62" ht="18.75">
      <c r="A66" s="36">
        <v>45725</v>
      </c>
      <c r="B66" s="65" t="s">
        <v>36</v>
      </c>
      <c r="C66" s="72"/>
      <c r="D66" s="39" t="s">
        <v>43</v>
      </c>
      <c r="E66" s="66">
        <v>6</v>
      </c>
      <c r="F66" s="73"/>
      <c r="G66" s="37" t="s">
        <v>44</v>
      </c>
      <c r="H66" s="42">
        <v>5900</v>
      </c>
      <c r="I66" s="72">
        <f t="shared" si="0"/>
        <v>3627.3514</v>
      </c>
      <c r="J66" s="74">
        <f t="shared" si="7"/>
        <v>3528.8249230769234</v>
      </c>
      <c r="K66" s="74">
        <f t="shared" si="8"/>
        <v>2272.6486</v>
      </c>
      <c r="L66" s="74">
        <f t="shared" si="13"/>
        <v>2371.1750769230766</v>
      </c>
      <c r="M66" s="74">
        <f t="shared" si="1"/>
        <v>0.5981059191655802</v>
      </c>
      <c r="N66" s="74">
        <f t="shared" si="10"/>
        <v>0.61480532203389826</v>
      </c>
      <c r="O66" s="75">
        <f t="shared" si="2"/>
        <v>2.7920477516115302E-2</v>
      </c>
      <c r="P66" s="71">
        <v>1495.1538461538462</v>
      </c>
      <c r="Q66" s="71">
        <v>663.23076923076917</v>
      </c>
      <c r="R66" s="81">
        <v>0</v>
      </c>
      <c r="S66" s="81">
        <v>0</v>
      </c>
      <c r="T66" s="71">
        <v>2916.4615384615386</v>
      </c>
      <c r="U66" s="71">
        <v>4292.7692307692305</v>
      </c>
      <c r="V66" s="71">
        <v>4514.7692307692305</v>
      </c>
      <c r="W66" s="71"/>
      <c r="X66" s="71">
        <v>9.6461538461538456</v>
      </c>
      <c r="Y66" s="71"/>
      <c r="Z66" s="71"/>
      <c r="AA66" s="71"/>
      <c r="AB66" s="71">
        <v>1054.1538461538462</v>
      </c>
      <c r="AC66" s="76">
        <f>IFERROR(AD66/E66,0)</f>
        <v>3528.8249230769234</v>
      </c>
      <c r="AD66" s="77">
        <f t="shared" si="3"/>
        <v>21172.94953846154</v>
      </c>
      <c r="AE66" s="48">
        <v>252</v>
      </c>
      <c r="AF66" s="78"/>
      <c r="AG66" s="50">
        <v>108</v>
      </c>
      <c r="AH66" s="79"/>
      <c r="AI66" s="50">
        <v>495</v>
      </c>
      <c r="AJ66" s="50">
        <v>743</v>
      </c>
      <c r="AK66" s="50">
        <f>300+475</f>
        <v>775</v>
      </c>
      <c r="AL66" s="76"/>
      <c r="AM66" s="72"/>
      <c r="AN66" s="52"/>
      <c r="AO66" s="50">
        <v>2.52</v>
      </c>
      <c r="AP66" s="76"/>
      <c r="AQ66" s="52">
        <v>150</v>
      </c>
      <c r="AR66" s="53">
        <f t="shared" si="4"/>
        <v>3627.3514</v>
      </c>
      <c r="AS66" s="54">
        <f>AR66*E66</f>
        <v>21764.108400000001</v>
      </c>
      <c r="AT66" s="43">
        <f t="shared" si="5"/>
        <v>98.526476923076643</v>
      </c>
      <c r="AU66" s="41">
        <f>IFERROR(AT66*E66,0)</f>
        <v>591.15886153845986</v>
      </c>
      <c r="AV66" s="38" t="str">
        <f>D66</f>
        <v>M30</v>
      </c>
      <c r="AW66" s="38">
        <f>P66/E66</f>
        <v>249.19230769230771</v>
      </c>
      <c r="AX66" s="38">
        <f>Q66/E66</f>
        <v>110.53846153846153</v>
      </c>
      <c r="AY66" s="38">
        <f>R66/E66</f>
        <v>0</v>
      </c>
      <c r="AZ66" s="38">
        <f>S66/E66</f>
        <v>0</v>
      </c>
      <c r="BA66" s="38">
        <f>T66/E66</f>
        <v>486.07692307692309</v>
      </c>
      <c r="BB66" s="38">
        <f>U66/E66</f>
        <v>715.46153846153845</v>
      </c>
      <c r="BC66" s="38">
        <f>V66/E66</f>
        <v>752.46153846153845</v>
      </c>
      <c r="BD66" s="38"/>
      <c r="BE66" s="38">
        <f>X66/E66</f>
        <v>1.6076923076923075</v>
      </c>
      <c r="BF66" s="38">
        <f>Y66/E66</f>
        <v>0</v>
      </c>
      <c r="BG66" s="38">
        <f>AB66/E66</f>
        <v>175.69230769230771</v>
      </c>
      <c r="BH66" s="55">
        <f>Z66/E66</f>
        <v>0</v>
      </c>
      <c r="BI66" s="38"/>
      <c r="BJ66" s="38">
        <f t="shared" si="12"/>
        <v>2491.0307692307692</v>
      </c>
    </row>
    <row r="67" spans="1:62" ht="18.75">
      <c r="A67" s="36">
        <v>45725</v>
      </c>
      <c r="B67" s="65" t="s">
        <v>45</v>
      </c>
      <c r="C67" s="72"/>
      <c r="D67" s="39" t="s">
        <v>43</v>
      </c>
      <c r="E67" s="66">
        <v>20</v>
      </c>
      <c r="F67" s="73"/>
      <c r="G67" s="37" t="s">
        <v>46</v>
      </c>
      <c r="H67" s="42">
        <v>6000</v>
      </c>
      <c r="I67" s="72">
        <f t="shared" ref="I67:I100" si="14">AR67</f>
        <v>4033.4050000000002</v>
      </c>
      <c r="J67" s="74">
        <f t="shared" si="7"/>
        <v>3528.8249230769229</v>
      </c>
      <c r="K67" s="74">
        <f t="shared" si="8"/>
        <v>1966.5949999999998</v>
      </c>
      <c r="L67" s="74">
        <f t="shared" si="13"/>
        <v>2471.1750769230771</v>
      </c>
      <c r="M67" s="74">
        <f t="shared" ref="M67:M100" si="15">($J67)/($H67)</f>
        <v>0.58813748717948711</v>
      </c>
      <c r="N67" s="74">
        <f t="shared" si="10"/>
        <v>0.67223416666666669</v>
      </c>
      <c r="O67" s="75">
        <f t="shared" ref="O67:O100" si="16">IFERROR((N67-M67)/M67,0)</f>
        <v>0.14298813002122929</v>
      </c>
      <c r="P67" s="71">
        <v>4983.8461538461534</v>
      </c>
      <c r="Q67" s="71">
        <v>2210.7692307692305</v>
      </c>
      <c r="R67" s="71">
        <v>0</v>
      </c>
      <c r="S67" s="71">
        <v>0</v>
      </c>
      <c r="T67" s="71">
        <v>9721.538461538461</v>
      </c>
      <c r="U67" s="71">
        <v>14309.23076923077</v>
      </c>
      <c r="V67" s="71">
        <v>15049.23076923077</v>
      </c>
      <c r="W67" s="71"/>
      <c r="X67" s="71">
        <v>32.153846153846153</v>
      </c>
      <c r="Y67" s="71"/>
      <c r="Z67" s="71"/>
      <c r="AA67" s="71"/>
      <c r="AB67" s="71">
        <v>3513.8461538461534</v>
      </c>
      <c r="AC67" s="76">
        <f>IFERROR(AD67/E67,0)</f>
        <v>3528.8249230769229</v>
      </c>
      <c r="AD67" s="77">
        <f t="shared" ref="AD67:AD130" si="17">IFERROR(($P$2*P67)+($Q$2*Q67)+($R$2*R67)+($S$2*S67)+($T$2*T67)+($U$2*U67)+($V$2*V67)+($W$2*W67)+($X$2*X67)+($Y$2*Y67)+($Z$2*Z67)+($AA$2*AA67)+(AB67*AB$2),0)</f>
        <v>70576.49846153846</v>
      </c>
      <c r="AE67" s="48">
        <v>380</v>
      </c>
      <c r="AF67" s="78"/>
      <c r="AG67" s="50">
        <v>0</v>
      </c>
      <c r="AH67" s="79"/>
      <c r="AI67" s="50">
        <v>495</v>
      </c>
      <c r="AJ67" s="50">
        <v>745</v>
      </c>
      <c r="AK67" s="50">
        <f>380+380</f>
        <v>760</v>
      </c>
      <c r="AL67" s="76"/>
      <c r="AM67" s="72"/>
      <c r="AN67" s="52">
        <v>2.4700000000000002</v>
      </c>
      <c r="AO67" s="50"/>
      <c r="AP67" s="76"/>
      <c r="AQ67" s="52">
        <v>144</v>
      </c>
      <c r="AR67" s="53">
        <f t="shared" ref="AR67:AR130" si="18">+($AE$2*AE67)+($AF$2*AF67)+($AG$2*AG67)+($AH$2*AH67)+($AI$2*AI67)+($AJ$2*AJ67)+($AK$2*AK67)+($AL$2*AL67)+($AM$2*AM67)+($AN$2*AN67)+($AO$2*AO67)+($AP$2*AP67)+($AQ$2*AQ67)</f>
        <v>4033.4050000000002</v>
      </c>
      <c r="AS67" s="54">
        <f>AR67*E67</f>
        <v>80668.100000000006</v>
      </c>
      <c r="AT67" s="43">
        <f t="shared" ref="AT67:AT130" si="19">IFERROR(AR67-AC67,0)</f>
        <v>504.58007692307729</v>
      </c>
      <c r="AU67" s="41">
        <f>IFERROR(AT67*E67,0)</f>
        <v>10091.601538461546</v>
      </c>
      <c r="AV67" s="38" t="str">
        <f>D67</f>
        <v>M30</v>
      </c>
      <c r="AW67" s="38">
        <f>P67/E67</f>
        <v>249.19230769230768</v>
      </c>
      <c r="AX67" s="38">
        <f>Q67/E67</f>
        <v>110.53846153846152</v>
      </c>
      <c r="AY67" s="38">
        <f>R67/E67</f>
        <v>0</v>
      </c>
      <c r="AZ67" s="38">
        <f>S67/E67</f>
        <v>0</v>
      </c>
      <c r="BA67" s="38">
        <f>T67/E67</f>
        <v>486.07692307692304</v>
      </c>
      <c r="BB67" s="38">
        <f>U67/E67</f>
        <v>715.46153846153845</v>
      </c>
      <c r="BC67" s="38">
        <f>V67/E67</f>
        <v>752.46153846153845</v>
      </c>
      <c r="BD67" s="38"/>
      <c r="BE67" s="38">
        <f>X67/E67</f>
        <v>1.6076923076923078</v>
      </c>
      <c r="BF67" s="38">
        <f>Y67/E67</f>
        <v>0</v>
      </c>
      <c r="BG67" s="38">
        <f>AB67/E67</f>
        <v>175.69230769230768</v>
      </c>
      <c r="BH67" s="55">
        <f>Z67/E67</f>
        <v>0</v>
      </c>
      <c r="BI67" s="38"/>
      <c r="BJ67" s="38">
        <f t="shared" si="12"/>
        <v>2491.0307692307688</v>
      </c>
    </row>
    <row r="68" spans="1:62" ht="18.75">
      <c r="A68" s="36">
        <v>45725</v>
      </c>
      <c r="B68" s="65" t="s">
        <v>47</v>
      </c>
      <c r="C68" s="72"/>
      <c r="D68" s="39" t="s">
        <v>48</v>
      </c>
      <c r="E68" s="66">
        <v>14</v>
      </c>
      <c r="F68" s="73"/>
      <c r="G68" s="37" t="s">
        <v>49</v>
      </c>
      <c r="H68" s="42">
        <v>6600</v>
      </c>
      <c r="I68" s="72">
        <f t="shared" si="14"/>
        <v>4390.09</v>
      </c>
      <c r="J68" s="74">
        <f t="shared" ref="J68:J100" si="20">AC68</f>
        <v>4225.893</v>
      </c>
      <c r="K68" s="74">
        <f t="shared" ref="K68:K100" si="21">H68-I68</f>
        <v>2209.91</v>
      </c>
      <c r="L68" s="74">
        <f t="shared" si="13"/>
        <v>2374.107</v>
      </c>
      <c r="M68" s="74">
        <f t="shared" si="15"/>
        <v>0.64028681818181821</v>
      </c>
      <c r="N68" s="74">
        <f t="shared" ref="N68:N100" si="22">I68/H68</f>
        <v>0.66516515151515154</v>
      </c>
      <c r="O68" s="75">
        <f t="shared" si="16"/>
        <v>3.885498284031328E-2</v>
      </c>
      <c r="P68" s="71">
        <v>5297</v>
      </c>
      <c r="Q68" s="71">
        <v>1687</v>
      </c>
      <c r="R68" s="71">
        <v>0</v>
      </c>
      <c r="S68" s="71">
        <v>0</v>
      </c>
      <c r="T68" s="71">
        <v>6681</v>
      </c>
      <c r="U68" s="71">
        <v>9943</v>
      </c>
      <c r="V68" s="71">
        <f>4536+4494</f>
        <v>9030</v>
      </c>
      <c r="W68" s="71"/>
      <c r="X68" s="71"/>
      <c r="Y68" s="71">
        <v>33.01</v>
      </c>
      <c r="Z68" s="71">
        <v>0</v>
      </c>
      <c r="AA68" s="71">
        <v>0</v>
      </c>
      <c r="AB68" s="71">
        <v>2576</v>
      </c>
      <c r="AC68" s="76">
        <f>IFERROR(AD68/E68,0)</f>
        <v>4225.893</v>
      </c>
      <c r="AD68" s="77">
        <f t="shared" si="17"/>
        <v>59162.502</v>
      </c>
      <c r="AE68" s="48">
        <v>400</v>
      </c>
      <c r="AF68" s="78"/>
      <c r="AG68" s="50">
        <v>100</v>
      </c>
      <c r="AH68" s="79"/>
      <c r="AI68" s="50">
        <v>510</v>
      </c>
      <c r="AJ68" s="50">
        <v>750</v>
      </c>
      <c r="AK68" s="50">
        <f>295+300</f>
        <v>595</v>
      </c>
      <c r="AL68" s="76"/>
      <c r="AM68" s="72"/>
      <c r="AN68" s="52">
        <v>3.5</v>
      </c>
      <c r="AO68" s="50"/>
      <c r="AP68" s="76"/>
      <c r="AQ68" s="52">
        <v>150</v>
      </c>
      <c r="AR68" s="53">
        <f t="shared" si="18"/>
        <v>4390.09</v>
      </c>
      <c r="AS68" s="54">
        <f>AR68*E68</f>
        <v>61461.26</v>
      </c>
      <c r="AT68" s="43">
        <f t="shared" si="19"/>
        <v>164.19700000000012</v>
      </c>
      <c r="AU68" s="41">
        <f>IFERROR(AT68*E68,0)</f>
        <v>2298.7580000000016</v>
      </c>
      <c r="AV68" s="38" t="str">
        <f>D68</f>
        <v>M50</v>
      </c>
      <c r="AW68" s="38">
        <f>P68/E68</f>
        <v>378.35714285714283</v>
      </c>
      <c r="AX68" s="38">
        <f>Q68/E68</f>
        <v>120.5</v>
      </c>
      <c r="AY68" s="38">
        <f>R68/E68</f>
        <v>0</v>
      </c>
      <c r="AZ68" s="38">
        <f>S68/E68</f>
        <v>0</v>
      </c>
      <c r="BA68" s="38">
        <f>T68/E68</f>
        <v>477.21428571428572</v>
      </c>
      <c r="BB68" s="38">
        <f>U68/E68</f>
        <v>710.21428571428567</v>
      </c>
      <c r="BC68" s="38">
        <f>V68/E68</f>
        <v>645</v>
      </c>
      <c r="BD68" s="38"/>
      <c r="BE68" s="38">
        <f>X68/E68</f>
        <v>0</v>
      </c>
      <c r="BF68" s="38">
        <f>Y68/E68</f>
        <v>2.3578571428571427</v>
      </c>
      <c r="BG68" s="38">
        <f>AB68/E68</f>
        <v>184</v>
      </c>
      <c r="BH68" s="55">
        <f>Z68/E68</f>
        <v>0</v>
      </c>
      <c r="BI68" s="38"/>
      <c r="BJ68" s="38">
        <f t="shared" si="12"/>
        <v>2517.6435714285712</v>
      </c>
    </row>
    <row r="69" spans="1:62" ht="18.75">
      <c r="A69" s="36">
        <v>45726</v>
      </c>
      <c r="B69" s="65" t="s">
        <v>80</v>
      </c>
      <c r="C69" s="72"/>
      <c r="D69" s="39" t="s">
        <v>31</v>
      </c>
      <c r="E69" s="66">
        <v>36.5</v>
      </c>
      <c r="F69" s="73"/>
      <c r="G69" s="37" t="s">
        <v>32</v>
      </c>
      <c r="H69" s="42">
        <v>5400</v>
      </c>
      <c r="I69" s="72">
        <f t="shared" si="14"/>
        <v>3003.4838000000004</v>
      </c>
      <c r="J69" s="74">
        <f t="shared" si="20"/>
        <v>2698.9663397260279</v>
      </c>
      <c r="K69" s="74">
        <f t="shared" si="21"/>
        <v>2396.5161999999996</v>
      </c>
      <c r="L69" s="74">
        <f t="shared" si="13"/>
        <v>2701.0336602739721</v>
      </c>
      <c r="M69" s="74">
        <f t="shared" si="15"/>
        <v>0.49980858143074591</v>
      </c>
      <c r="N69" s="74">
        <f t="shared" si="22"/>
        <v>0.55620070370370378</v>
      </c>
      <c r="O69" s="75">
        <f t="shared" si="16"/>
        <v>0.11282743907983826</v>
      </c>
      <c r="P69" s="71">
        <f>1144+1056</f>
        <v>2200</v>
      </c>
      <c r="Q69" s="71">
        <v>3669</v>
      </c>
      <c r="R69" s="81"/>
      <c r="S69" s="81"/>
      <c r="T69" s="71">
        <v>15720</v>
      </c>
      <c r="U69" s="71">
        <v>26686</v>
      </c>
      <c r="V69" s="71">
        <f>18895+19011</f>
        <v>37906</v>
      </c>
      <c r="W69" s="71"/>
      <c r="X69" s="71">
        <v>29.52</v>
      </c>
      <c r="Y69" s="71"/>
      <c r="Z69" s="71"/>
      <c r="AA69" s="71"/>
      <c r="AB69" s="71">
        <v>6660</v>
      </c>
      <c r="AC69" s="76">
        <f>IFERROR(AD69/E69,0)</f>
        <v>2698.9663397260279</v>
      </c>
      <c r="AD69" s="77">
        <f t="shared" si="17"/>
        <v>98512.271400000012</v>
      </c>
      <c r="AE69" s="48">
        <v>154</v>
      </c>
      <c r="AF69" s="78"/>
      <c r="AG69" s="50">
        <v>66</v>
      </c>
      <c r="AH69" s="79"/>
      <c r="AI69" s="50">
        <v>480</v>
      </c>
      <c r="AJ69" s="50">
        <v>700</v>
      </c>
      <c r="AK69" s="50">
        <f>450+450</f>
        <v>900</v>
      </c>
      <c r="AL69" s="76"/>
      <c r="AM69" s="72"/>
      <c r="AN69" s="52"/>
      <c r="AO69" s="50">
        <v>1.54</v>
      </c>
      <c r="AP69" s="76"/>
      <c r="AQ69" s="52">
        <v>154</v>
      </c>
      <c r="AR69" s="53">
        <f t="shared" si="18"/>
        <v>3003.4838000000004</v>
      </c>
      <c r="AS69" s="54">
        <f>AR69*E69</f>
        <v>109627.15870000001</v>
      </c>
      <c r="AT69" s="43">
        <f t="shared" si="19"/>
        <v>304.51746027397257</v>
      </c>
      <c r="AU69" s="41">
        <f>IFERROR(AT69*E69,0)</f>
        <v>11114.887299999999</v>
      </c>
      <c r="AV69" s="38" t="str">
        <f>D69</f>
        <v>M10</v>
      </c>
      <c r="AW69" s="38">
        <f>P69/E69</f>
        <v>60.273972602739725</v>
      </c>
      <c r="AX69" s="38">
        <f>Q69/E69</f>
        <v>100.52054794520548</v>
      </c>
      <c r="AY69" s="38">
        <f>R69/E69</f>
        <v>0</v>
      </c>
      <c r="AZ69" s="38">
        <f>S69/E69</f>
        <v>0</v>
      </c>
      <c r="BA69" s="38">
        <f>T69/E69</f>
        <v>430.6849315068493</v>
      </c>
      <c r="BB69" s="38">
        <f>U69/E69</f>
        <v>731.1232876712329</v>
      </c>
      <c r="BC69" s="38">
        <f>V69/E69</f>
        <v>1038.5205479452054</v>
      </c>
      <c r="BD69" s="38"/>
      <c r="BE69" s="38">
        <f>X69/E69</f>
        <v>0.8087671232876712</v>
      </c>
      <c r="BF69" s="38">
        <f>Y69/E69</f>
        <v>0</v>
      </c>
      <c r="BG69" s="38">
        <f>AB69/E69</f>
        <v>182.46575342465752</v>
      </c>
      <c r="BH69" s="55">
        <f>Z69/E69</f>
        <v>0</v>
      </c>
      <c r="BI69" s="38"/>
      <c r="BJ69" s="38">
        <f t="shared" si="12"/>
        <v>2544.3978082191779</v>
      </c>
    </row>
    <row r="70" spans="1:62" ht="18.75">
      <c r="A70" s="36">
        <v>45726</v>
      </c>
      <c r="B70" s="65" t="s">
        <v>81</v>
      </c>
      <c r="C70" s="72"/>
      <c r="D70" s="39" t="s">
        <v>34</v>
      </c>
      <c r="E70" s="66">
        <v>21.5</v>
      </c>
      <c r="F70" s="73"/>
      <c r="G70" s="37" t="s">
        <v>82</v>
      </c>
      <c r="H70" s="42">
        <v>5100</v>
      </c>
      <c r="I70" s="72">
        <f t="shared" si="14"/>
        <v>3256.6862000000001</v>
      </c>
      <c r="J70" s="74">
        <f t="shared" si="20"/>
        <v>2863.4838744186045</v>
      </c>
      <c r="K70" s="74">
        <f t="shared" si="21"/>
        <v>1843.3137999999999</v>
      </c>
      <c r="L70" s="74">
        <f t="shared" si="13"/>
        <v>2236.5161255813955</v>
      </c>
      <c r="M70" s="74">
        <f t="shared" si="15"/>
        <v>0.56146742635658908</v>
      </c>
      <c r="N70" s="74">
        <f t="shared" si="22"/>
        <v>0.63856592156862746</v>
      </c>
      <c r="O70" s="75">
        <f t="shared" si="16"/>
        <v>0.1373160607238379</v>
      </c>
      <c r="P70" s="71">
        <v>2145</v>
      </c>
      <c r="Q70" s="71">
        <v>2590</v>
      </c>
      <c r="R70" s="71"/>
      <c r="S70" s="71"/>
      <c r="T70" s="71">
        <v>10254</v>
      </c>
      <c r="U70" s="71">
        <v>15146</v>
      </c>
      <c r="V70" s="71">
        <f>9819+9733</f>
        <v>19552</v>
      </c>
      <c r="W70" s="71"/>
      <c r="X70" s="71">
        <v>16.29</v>
      </c>
      <c r="Y70" s="71"/>
      <c r="Z70" s="71"/>
      <c r="AA70" s="71"/>
      <c r="AB70" s="71">
        <v>3783</v>
      </c>
      <c r="AC70" s="76">
        <f>IFERROR(AD70/E70,0)</f>
        <v>2863.4838744186045</v>
      </c>
      <c r="AD70" s="77">
        <f t="shared" si="17"/>
        <v>61564.903299999998</v>
      </c>
      <c r="AE70" s="48">
        <v>196</v>
      </c>
      <c r="AF70" s="78"/>
      <c r="AG70" s="50">
        <v>84</v>
      </c>
      <c r="AH70" s="79"/>
      <c r="AI70" s="50">
        <v>480</v>
      </c>
      <c r="AJ70" s="50">
        <v>715</v>
      </c>
      <c r="AK70" s="50">
        <f>440+400</f>
        <v>840</v>
      </c>
      <c r="AL70" s="76"/>
      <c r="AM70" s="72"/>
      <c r="AN70" s="52"/>
      <c r="AO70" s="50">
        <v>1.96</v>
      </c>
      <c r="AP70" s="76"/>
      <c r="AQ70" s="52">
        <v>160</v>
      </c>
      <c r="AR70" s="53">
        <f t="shared" si="18"/>
        <v>3256.6862000000001</v>
      </c>
      <c r="AS70" s="54">
        <f>AR70*E70</f>
        <v>70018.753299999997</v>
      </c>
      <c r="AT70" s="43">
        <f t="shared" si="19"/>
        <v>393.2023255813956</v>
      </c>
      <c r="AU70" s="41">
        <f>IFERROR(AT70*E70,0)</f>
        <v>8453.8500000000058</v>
      </c>
      <c r="AV70" s="38" t="str">
        <f>D70</f>
        <v>M15</v>
      </c>
      <c r="AW70" s="38">
        <f>P70/E70</f>
        <v>99.767441860465112</v>
      </c>
      <c r="AX70" s="38">
        <f>Q70/E70</f>
        <v>120.46511627906976</v>
      </c>
      <c r="AY70" s="38">
        <f>R70/E70</f>
        <v>0</v>
      </c>
      <c r="AZ70" s="38">
        <f>S70/E70</f>
        <v>0</v>
      </c>
      <c r="BA70" s="38">
        <f>T70/E70</f>
        <v>476.93023255813955</v>
      </c>
      <c r="BB70" s="38">
        <f>U70/E70</f>
        <v>704.46511627906978</v>
      </c>
      <c r="BC70" s="38">
        <f>V70/E70</f>
        <v>909.39534883720933</v>
      </c>
      <c r="BD70" s="38"/>
      <c r="BE70" s="38">
        <f>X70/E70</f>
        <v>0.75767441860465112</v>
      </c>
      <c r="BF70" s="38">
        <f>Y70/E70</f>
        <v>0</v>
      </c>
      <c r="BG70" s="38">
        <f>AB70/E70</f>
        <v>175.95348837209303</v>
      </c>
      <c r="BH70" s="55">
        <f>Z70/E70</f>
        <v>0</v>
      </c>
      <c r="BI70" s="38"/>
      <c r="BJ70" s="38">
        <f t="shared" si="12"/>
        <v>2487.7344186046512</v>
      </c>
    </row>
    <row r="71" spans="1:62" ht="18.75">
      <c r="A71" s="36">
        <v>45726</v>
      </c>
      <c r="B71" s="65" t="s">
        <v>83</v>
      </c>
      <c r="C71" s="72"/>
      <c r="D71" s="39" t="s">
        <v>40</v>
      </c>
      <c r="E71" s="66">
        <v>12.5</v>
      </c>
      <c r="F71" s="73"/>
      <c r="G71" s="37" t="s">
        <v>41</v>
      </c>
      <c r="H71" s="42">
        <v>5700</v>
      </c>
      <c r="I71" s="72">
        <f t="shared" si="14"/>
        <v>3452.0828000000001</v>
      </c>
      <c r="J71" s="74">
        <f t="shared" si="20"/>
        <v>3160.9473359999997</v>
      </c>
      <c r="K71" s="74">
        <f t="shared" si="21"/>
        <v>2247.9171999999999</v>
      </c>
      <c r="L71" s="74">
        <f t="shared" si="13"/>
        <v>2539.0526640000003</v>
      </c>
      <c r="M71" s="74">
        <f t="shared" si="15"/>
        <v>0.55455216421052622</v>
      </c>
      <c r="N71" s="74">
        <f t="shared" si="22"/>
        <v>0.60562856140350885</v>
      </c>
      <c r="O71" s="75">
        <f t="shared" si="16"/>
        <v>9.2103864143594519E-2</v>
      </c>
      <c r="P71" s="71">
        <v>1591</v>
      </c>
      <c r="Q71" s="71">
        <v>2403</v>
      </c>
      <c r="R71" s="81"/>
      <c r="S71" s="81"/>
      <c r="T71" s="71">
        <v>5974</v>
      </c>
      <c r="U71" s="71">
        <v>8738</v>
      </c>
      <c r="V71" s="71">
        <f>5090+5236</f>
        <v>10326</v>
      </c>
      <c r="W71" s="71"/>
      <c r="X71" s="71">
        <v>13.11</v>
      </c>
      <c r="Y71" s="71"/>
      <c r="Z71" s="71"/>
      <c r="AA71" s="71"/>
      <c r="AB71" s="71">
        <v>2345</v>
      </c>
      <c r="AC71" s="76">
        <f>IFERROR(AD71/E71,0)</f>
        <v>3160.9473359999997</v>
      </c>
      <c r="AD71" s="77">
        <f t="shared" si="17"/>
        <v>39511.841699999997</v>
      </c>
      <c r="AE71" s="48">
        <v>224</v>
      </c>
      <c r="AF71" s="78"/>
      <c r="AG71" s="50">
        <v>96</v>
      </c>
      <c r="AH71" s="79"/>
      <c r="AI71" s="50">
        <v>495</v>
      </c>
      <c r="AJ71" s="50">
        <v>740</v>
      </c>
      <c r="AK71" s="50">
        <v>800</v>
      </c>
      <c r="AL71" s="76"/>
      <c r="AM71" s="72"/>
      <c r="AN71" s="52"/>
      <c r="AO71" s="50">
        <v>2.2400000000000002</v>
      </c>
      <c r="AP71" s="76"/>
      <c r="AQ71" s="52">
        <v>155</v>
      </c>
      <c r="AR71" s="53">
        <f t="shared" si="18"/>
        <v>3452.0828000000001</v>
      </c>
      <c r="AS71" s="54">
        <f>AR71*E71</f>
        <v>43151.035000000003</v>
      </c>
      <c r="AT71" s="43">
        <f t="shared" si="19"/>
        <v>291.13546400000041</v>
      </c>
      <c r="AU71" s="41">
        <f>IFERROR(AT71*E71,0)</f>
        <v>3639.1933000000054</v>
      </c>
      <c r="AV71" s="38" t="str">
        <f>D71</f>
        <v>M25</v>
      </c>
      <c r="AW71" s="38">
        <f>P71/E71</f>
        <v>127.28</v>
      </c>
      <c r="AX71" s="38">
        <f>Q71/E71</f>
        <v>192.24</v>
      </c>
      <c r="AY71" s="38">
        <f>R71/E71</f>
        <v>0</v>
      </c>
      <c r="AZ71" s="38">
        <f>S71/E71</f>
        <v>0</v>
      </c>
      <c r="BA71" s="38">
        <f>T71/E71</f>
        <v>477.92</v>
      </c>
      <c r="BB71" s="38">
        <f>U71/E71</f>
        <v>699.04</v>
      </c>
      <c r="BC71" s="38">
        <f>V71/E71</f>
        <v>826.08</v>
      </c>
      <c r="BD71" s="38"/>
      <c r="BE71" s="38">
        <f>X71/E71</f>
        <v>1.0488</v>
      </c>
      <c r="BF71" s="38">
        <f>Y71/E71</f>
        <v>0</v>
      </c>
      <c r="BG71" s="38">
        <f>AB71/E71</f>
        <v>187.6</v>
      </c>
      <c r="BH71" s="55">
        <f>Z71/E71</f>
        <v>0</v>
      </c>
      <c r="BI71" s="38"/>
      <c r="BJ71" s="38">
        <f t="shared" si="12"/>
        <v>2511.2087999999999</v>
      </c>
    </row>
    <row r="72" spans="1:62" ht="18.75">
      <c r="A72" s="36">
        <v>45726</v>
      </c>
      <c r="B72" s="65" t="s">
        <v>83</v>
      </c>
      <c r="C72" s="72"/>
      <c r="D72" s="39" t="s">
        <v>40</v>
      </c>
      <c r="E72" s="66">
        <v>10.5</v>
      </c>
      <c r="F72" s="73"/>
      <c r="G72" s="37" t="s">
        <v>41</v>
      </c>
      <c r="H72" s="42">
        <v>5700</v>
      </c>
      <c r="I72" s="72">
        <f t="shared" si="14"/>
        <v>3452.0828000000001</v>
      </c>
      <c r="J72" s="74">
        <f t="shared" si="20"/>
        <v>3329.2839238095235</v>
      </c>
      <c r="K72" s="74">
        <f t="shared" si="21"/>
        <v>2247.9171999999999</v>
      </c>
      <c r="L72" s="74">
        <f t="shared" si="13"/>
        <v>2370.7160761904765</v>
      </c>
      <c r="M72" s="74">
        <f t="shared" si="15"/>
        <v>0.58408489891395143</v>
      </c>
      <c r="N72" s="74">
        <f t="shared" si="22"/>
        <v>0.60562856140350885</v>
      </c>
      <c r="O72" s="75">
        <f t="shared" si="16"/>
        <v>3.6884470955533585E-2</v>
      </c>
      <c r="P72" s="71">
        <v>2094</v>
      </c>
      <c r="Q72" s="71">
        <v>1265</v>
      </c>
      <c r="R72" s="71"/>
      <c r="S72" s="71"/>
      <c r="T72" s="71">
        <v>5102</v>
      </c>
      <c r="U72" s="71">
        <v>7614</v>
      </c>
      <c r="V72" s="71">
        <f>4139+4148</f>
        <v>8287</v>
      </c>
      <c r="W72" s="71"/>
      <c r="X72" s="71">
        <v>13.86</v>
      </c>
      <c r="Y72" s="71"/>
      <c r="Z72" s="71"/>
      <c r="AA72" s="71"/>
      <c r="AB72" s="71">
        <v>1981</v>
      </c>
      <c r="AC72" s="76">
        <f>IFERROR(AD72/E72,0)</f>
        <v>3329.2839238095235</v>
      </c>
      <c r="AD72" s="77">
        <f t="shared" si="17"/>
        <v>34957.481199999995</v>
      </c>
      <c r="AE72" s="48">
        <v>224</v>
      </c>
      <c r="AF72" s="78"/>
      <c r="AG72" s="50">
        <v>96</v>
      </c>
      <c r="AH72" s="79"/>
      <c r="AI72" s="50">
        <v>495</v>
      </c>
      <c r="AJ72" s="50">
        <v>740</v>
      </c>
      <c r="AK72" s="50">
        <v>800</v>
      </c>
      <c r="AL72" s="76"/>
      <c r="AM72" s="72"/>
      <c r="AN72" s="52"/>
      <c r="AO72" s="50">
        <v>2.2400000000000002</v>
      </c>
      <c r="AP72" s="76"/>
      <c r="AQ72" s="52">
        <v>155</v>
      </c>
      <c r="AR72" s="53">
        <f t="shared" si="18"/>
        <v>3452.0828000000001</v>
      </c>
      <c r="AS72" s="54">
        <f>AR72*E72</f>
        <v>36246.869400000003</v>
      </c>
      <c r="AT72" s="43">
        <f t="shared" si="19"/>
        <v>122.79887619047668</v>
      </c>
      <c r="AU72" s="41">
        <f>IFERROR(AT72*E72,0)</f>
        <v>1289.3882000000051</v>
      </c>
      <c r="AV72" s="38" t="str">
        <f>D72</f>
        <v>M25</v>
      </c>
      <c r="AW72" s="38">
        <f>P72/E72</f>
        <v>199.42857142857142</v>
      </c>
      <c r="AX72" s="38">
        <f>Q72/E72</f>
        <v>120.47619047619048</v>
      </c>
      <c r="AY72" s="38">
        <f>R72/E72</f>
        <v>0</v>
      </c>
      <c r="AZ72" s="38">
        <f>S72/E72</f>
        <v>0</v>
      </c>
      <c r="BA72" s="38">
        <f>T72/E72</f>
        <v>485.90476190476193</v>
      </c>
      <c r="BB72" s="38">
        <f>U72/E72</f>
        <v>725.14285714285711</v>
      </c>
      <c r="BC72" s="38">
        <f>V72/E72</f>
        <v>789.23809523809518</v>
      </c>
      <c r="BD72" s="38"/>
      <c r="BE72" s="38">
        <f>X72/E72</f>
        <v>1.3199999999999998</v>
      </c>
      <c r="BF72" s="38">
        <f>Y72/E72</f>
        <v>0</v>
      </c>
      <c r="BG72" s="38">
        <f>AB72/E72</f>
        <v>188.66666666666666</v>
      </c>
      <c r="BH72" s="55">
        <f>Z72/E72</f>
        <v>0</v>
      </c>
      <c r="BI72" s="38"/>
      <c r="BJ72" s="38">
        <f t="shared" si="12"/>
        <v>2510.1771428571428</v>
      </c>
    </row>
    <row r="73" spans="1:62" ht="18.75">
      <c r="A73" s="36">
        <v>45726</v>
      </c>
      <c r="B73" s="37" t="s">
        <v>79</v>
      </c>
      <c r="C73" s="38"/>
      <c r="D73" s="39" t="s">
        <v>40</v>
      </c>
      <c r="E73" s="66">
        <v>32</v>
      </c>
      <c r="F73" s="41"/>
      <c r="G73" s="37" t="s">
        <v>41</v>
      </c>
      <c r="H73" s="42">
        <v>5500</v>
      </c>
      <c r="I73" s="72">
        <f t="shared" si="14"/>
        <v>3452.0828000000001</v>
      </c>
      <c r="J73" s="74">
        <f t="shared" si="20"/>
        <v>3141.1382499999995</v>
      </c>
      <c r="K73" s="74">
        <f t="shared" si="21"/>
        <v>2047.9171999999999</v>
      </c>
      <c r="L73" s="74">
        <f t="shared" si="13"/>
        <v>2358.8617500000005</v>
      </c>
      <c r="M73" s="74">
        <f t="shared" si="15"/>
        <v>0.57111604545454542</v>
      </c>
      <c r="N73" s="74">
        <f t="shared" si="22"/>
        <v>0.62765141818181824</v>
      </c>
      <c r="O73" s="75">
        <f t="shared" si="16"/>
        <v>9.899104249868676E-2</v>
      </c>
      <c r="P73" s="45">
        <v>3731</v>
      </c>
      <c r="Q73" s="45">
        <v>6514</v>
      </c>
      <c r="R73" s="62"/>
      <c r="S73" s="62"/>
      <c r="T73" s="45">
        <v>15249</v>
      </c>
      <c r="U73" s="45">
        <v>22396</v>
      </c>
      <c r="V73" s="45">
        <f>13223+13222</f>
        <v>26445</v>
      </c>
      <c r="W73" s="45"/>
      <c r="X73" s="45">
        <v>36.6</v>
      </c>
      <c r="Y73" s="45"/>
      <c r="Z73" s="45"/>
      <c r="AA73" s="45"/>
      <c r="AB73" s="45">
        <v>5254</v>
      </c>
      <c r="AC73" s="76">
        <f>IFERROR(AD73/E73,0)</f>
        <v>3141.1382499999995</v>
      </c>
      <c r="AD73" s="77">
        <f t="shared" si="17"/>
        <v>100516.42399999998</v>
      </c>
      <c r="AE73" s="48">
        <v>224</v>
      </c>
      <c r="AF73" s="49"/>
      <c r="AG73" s="50">
        <v>96</v>
      </c>
      <c r="AH73" s="51"/>
      <c r="AI73" s="50">
        <v>495</v>
      </c>
      <c r="AJ73" s="50">
        <v>740</v>
      </c>
      <c r="AK73" s="50">
        <v>800</v>
      </c>
      <c r="AL73" s="46"/>
      <c r="AM73" s="38"/>
      <c r="AN73" s="52"/>
      <c r="AO73" s="50">
        <v>2.2400000000000002</v>
      </c>
      <c r="AP73" s="46"/>
      <c r="AQ73" s="52">
        <v>155</v>
      </c>
      <c r="AR73" s="53">
        <f t="shared" si="18"/>
        <v>3452.0828000000001</v>
      </c>
      <c r="AS73" s="54">
        <f>AR73*E73</f>
        <v>110466.6496</v>
      </c>
      <c r="AT73" s="43">
        <f t="shared" si="19"/>
        <v>310.94455000000062</v>
      </c>
      <c r="AU73" s="41">
        <f>IFERROR(AT73*E73,0)</f>
        <v>9950.2256000000198</v>
      </c>
      <c r="AV73" s="38" t="str">
        <f>D73</f>
        <v>M25</v>
      </c>
      <c r="AW73" s="38">
        <f>P73/E73</f>
        <v>116.59375</v>
      </c>
      <c r="AX73" s="38">
        <f>Q73/E73</f>
        <v>203.5625</v>
      </c>
      <c r="AY73" s="38">
        <f>R73/E73</f>
        <v>0</v>
      </c>
      <c r="AZ73" s="38">
        <f>S73/E73</f>
        <v>0</v>
      </c>
      <c r="BA73" s="38">
        <f>T73/E73</f>
        <v>476.53125</v>
      </c>
      <c r="BB73" s="38">
        <f>U73/E73</f>
        <v>699.875</v>
      </c>
      <c r="BC73" s="38">
        <f>V73/E73</f>
        <v>826.40625</v>
      </c>
      <c r="BD73" s="38"/>
      <c r="BE73" s="38">
        <f>X73/E73</f>
        <v>1.14375</v>
      </c>
      <c r="BF73" s="38">
        <f>Y73/E73</f>
        <v>0</v>
      </c>
      <c r="BG73" s="38">
        <f>AB73/E73</f>
        <v>164.1875</v>
      </c>
      <c r="BH73" s="55">
        <f>Z73/E73</f>
        <v>0</v>
      </c>
      <c r="BI73" s="38"/>
      <c r="BJ73" s="38">
        <f t="shared" si="12"/>
        <v>2488.3000000000002</v>
      </c>
    </row>
    <row r="74" spans="1:62" ht="18.75">
      <c r="A74" s="36">
        <v>45726</v>
      </c>
      <c r="B74" s="37" t="s">
        <v>84</v>
      </c>
      <c r="C74" s="72"/>
      <c r="D74" s="39" t="s">
        <v>43</v>
      </c>
      <c r="E74" s="66">
        <v>6</v>
      </c>
      <c r="F74" s="73"/>
      <c r="G74" s="37" t="s">
        <v>44</v>
      </c>
      <c r="H74" s="42">
        <v>5465</v>
      </c>
      <c r="I74" s="72">
        <f t="shared" si="14"/>
        <v>3627.3514</v>
      </c>
      <c r="J74" s="74">
        <f t="shared" si="20"/>
        <v>3268.175033333333</v>
      </c>
      <c r="K74" s="74">
        <f t="shared" si="21"/>
        <v>1837.6486</v>
      </c>
      <c r="L74" s="74">
        <f t="shared" si="13"/>
        <v>2196.824966666667</v>
      </c>
      <c r="M74" s="74">
        <f t="shared" si="15"/>
        <v>0.5980192192741689</v>
      </c>
      <c r="N74" s="74">
        <f t="shared" si="22"/>
        <v>0.66374225068618486</v>
      </c>
      <c r="O74" s="75">
        <f t="shared" si="16"/>
        <v>0.1099012026599842</v>
      </c>
      <c r="P74" s="71">
        <v>783</v>
      </c>
      <c r="Q74" s="71">
        <v>1383</v>
      </c>
      <c r="R74" s="81"/>
      <c r="S74" s="81"/>
      <c r="T74" s="71">
        <v>2830</v>
      </c>
      <c r="U74" s="71">
        <v>4209</v>
      </c>
      <c r="V74" s="71">
        <f>2407+2407</f>
        <v>4814</v>
      </c>
      <c r="W74" s="71"/>
      <c r="X74" s="71">
        <v>6.26</v>
      </c>
      <c r="Y74" s="71"/>
      <c r="Z74" s="71"/>
      <c r="AA74" s="71"/>
      <c r="AB74" s="71">
        <v>1046</v>
      </c>
      <c r="AC74" s="76">
        <f>IFERROR(AD74/E74,0)</f>
        <v>3268.175033333333</v>
      </c>
      <c r="AD74" s="77">
        <f t="shared" si="17"/>
        <v>19609.050199999998</v>
      </c>
      <c r="AE74" s="48">
        <v>252</v>
      </c>
      <c r="AF74" s="78"/>
      <c r="AG74" s="50">
        <v>108</v>
      </c>
      <c r="AH74" s="79"/>
      <c r="AI74" s="50">
        <v>495</v>
      </c>
      <c r="AJ74" s="50">
        <v>743</v>
      </c>
      <c r="AK74" s="50">
        <f>300+475</f>
        <v>775</v>
      </c>
      <c r="AL74" s="76"/>
      <c r="AM74" s="72"/>
      <c r="AN74" s="52"/>
      <c r="AO74" s="50">
        <v>2.52</v>
      </c>
      <c r="AP74" s="76"/>
      <c r="AQ74" s="52">
        <v>150</v>
      </c>
      <c r="AR74" s="53">
        <f t="shared" si="18"/>
        <v>3627.3514</v>
      </c>
      <c r="AS74" s="54">
        <f>AR74*E74</f>
        <v>21764.108400000001</v>
      </c>
      <c r="AT74" s="43">
        <f t="shared" si="19"/>
        <v>359.17636666666704</v>
      </c>
      <c r="AU74" s="41">
        <f>IFERROR(AT74*E74,0)</f>
        <v>2155.0582000000022</v>
      </c>
      <c r="AV74" s="38" t="str">
        <f>D74</f>
        <v>M30</v>
      </c>
      <c r="AW74" s="38">
        <f>P74/E74</f>
        <v>130.5</v>
      </c>
      <c r="AX74" s="38">
        <f>Q74/E74</f>
        <v>230.5</v>
      </c>
      <c r="AY74" s="38">
        <f>R74/E74</f>
        <v>0</v>
      </c>
      <c r="AZ74" s="38">
        <f>S74/E74</f>
        <v>0</v>
      </c>
      <c r="BA74" s="38">
        <f>T74/E74</f>
        <v>471.66666666666669</v>
      </c>
      <c r="BB74" s="38">
        <f>U74/E74</f>
        <v>701.5</v>
      </c>
      <c r="BC74" s="38">
        <f>V74/E74</f>
        <v>802.33333333333337</v>
      </c>
      <c r="BD74" s="38"/>
      <c r="BE74" s="38">
        <f>X74/E74</f>
        <v>1.0433333333333332</v>
      </c>
      <c r="BF74" s="38">
        <f>Y74/E74</f>
        <v>0</v>
      </c>
      <c r="BG74" s="38">
        <f>AB74/E74</f>
        <v>174.33333333333334</v>
      </c>
      <c r="BH74" s="55">
        <f>Z74/E74</f>
        <v>0</v>
      </c>
      <c r="BI74" s="38"/>
      <c r="BJ74" s="38">
        <f t="shared" si="12"/>
        <v>2511.876666666667</v>
      </c>
    </row>
    <row r="75" spans="1:62" ht="18.75">
      <c r="A75" s="36">
        <v>45726</v>
      </c>
      <c r="B75" s="37" t="s">
        <v>85</v>
      </c>
      <c r="C75" s="72"/>
      <c r="D75" s="39" t="s">
        <v>66</v>
      </c>
      <c r="E75" s="66">
        <v>10</v>
      </c>
      <c r="F75" s="73"/>
      <c r="G75" s="37" t="s">
        <v>86</v>
      </c>
      <c r="H75" s="42">
        <v>6300</v>
      </c>
      <c r="I75" s="72">
        <f t="shared" si="14"/>
        <v>4066.0399000000002</v>
      </c>
      <c r="J75" s="74">
        <f t="shared" si="20"/>
        <v>3535.3660300000001</v>
      </c>
      <c r="K75" s="74">
        <f t="shared" si="21"/>
        <v>2233.9600999999998</v>
      </c>
      <c r="L75" s="74">
        <f t="shared" si="13"/>
        <v>2764.6339699999999</v>
      </c>
      <c r="M75" s="74">
        <f t="shared" si="15"/>
        <v>0.56116921111111118</v>
      </c>
      <c r="N75" s="74">
        <f t="shared" si="22"/>
        <v>0.64540315873015874</v>
      </c>
      <c r="O75" s="75">
        <f t="shared" si="16"/>
        <v>0.15010436415829895</v>
      </c>
      <c r="P75" s="71">
        <v>1995</v>
      </c>
      <c r="Q75" s="71">
        <v>2005</v>
      </c>
      <c r="R75" s="81"/>
      <c r="S75" s="81"/>
      <c r="T75" s="71">
        <v>4852</v>
      </c>
      <c r="U75" s="71">
        <v>7391</v>
      </c>
      <c r="V75" s="71">
        <f>3519+3474</f>
        <v>6993</v>
      </c>
      <c r="W75" s="71"/>
      <c r="X75" s="71">
        <v>20.79</v>
      </c>
      <c r="Y75" s="71"/>
      <c r="Z75" s="71"/>
      <c r="AA75" s="71"/>
      <c r="AB75" s="71">
        <v>1680</v>
      </c>
      <c r="AC75" s="76">
        <f>IFERROR(AD75/E75,0)</f>
        <v>3535.3660300000001</v>
      </c>
      <c r="AD75" s="77">
        <f t="shared" si="17"/>
        <v>35353.660300000003</v>
      </c>
      <c r="AE75" s="48">
        <v>410</v>
      </c>
      <c r="AF75" s="78"/>
      <c r="AG75" s="50">
        <v>0</v>
      </c>
      <c r="AH75" s="79"/>
      <c r="AI75" s="50">
        <v>490</v>
      </c>
      <c r="AJ75" s="50">
        <v>740</v>
      </c>
      <c r="AK75" s="50">
        <f>350+350</f>
        <v>700</v>
      </c>
      <c r="AL75" s="76"/>
      <c r="AM75" s="72"/>
      <c r="AN75" s="52"/>
      <c r="AO75" s="50">
        <v>2.87</v>
      </c>
      <c r="AP75" s="76"/>
      <c r="AQ75" s="52">
        <v>160</v>
      </c>
      <c r="AR75" s="53">
        <f t="shared" si="18"/>
        <v>4066.0399000000002</v>
      </c>
      <c r="AS75" s="54">
        <f>AR75*E75</f>
        <v>40660.399000000005</v>
      </c>
      <c r="AT75" s="43">
        <f t="shared" si="19"/>
        <v>530.67387000000008</v>
      </c>
      <c r="AU75" s="41">
        <f>IFERROR(AT75*E75,0)</f>
        <v>5306.7387000000008</v>
      </c>
      <c r="AV75" s="38" t="str">
        <f>D75</f>
        <v>M35</v>
      </c>
      <c r="AW75" s="38">
        <f>P75/E75</f>
        <v>199.5</v>
      </c>
      <c r="AX75" s="38">
        <f>Q75/E75</f>
        <v>200.5</v>
      </c>
      <c r="AY75" s="38">
        <f>R75/E75</f>
        <v>0</v>
      </c>
      <c r="AZ75" s="38">
        <f>S75/E75</f>
        <v>0</v>
      </c>
      <c r="BA75" s="38">
        <f>T75/E75</f>
        <v>485.2</v>
      </c>
      <c r="BB75" s="38">
        <f>U75/E75</f>
        <v>739.1</v>
      </c>
      <c r="BC75" s="38">
        <f>V75/E75</f>
        <v>699.3</v>
      </c>
      <c r="BD75" s="38"/>
      <c r="BE75" s="38">
        <f>X75/E75</f>
        <v>2.0789999999999997</v>
      </c>
      <c r="BF75" s="38">
        <f>Y75/E75</f>
        <v>0</v>
      </c>
      <c r="BG75" s="38">
        <f>AB75/E75</f>
        <v>168</v>
      </c>
      <c r="BH75" s="55">
        <f>Z75/E75</f>
        <v>0</v>
      </c>
      <c r="BI75" s="38"/>
      <c r="BJ75" s="38">
        <f t="shared" si="12"/>
        <v>2493.6790000000005</v>
      </c>
    </row>
    <row r="76" spans="1:62" ht="18.75">
      <c r="A76" s="36">
        <v>45726</v>
      </c>
      <c r="B76" s="65" t="s">
        <v>47</v>
      </c>
      <c r="C76" s="72"/>
      <c r="D76" s="39" t="s">
        <v>48</v>
      </c>
      <c r="E76" s="66">
        <v>5</v>
      </c>
      <c r="F76" s="73"/>
      <c r="G76" s="37" t="s">
        <v>49</v>
      </c>
      <c r="H76" s="42">
        <v>6600</v>
      </c>
      <c r="I76" s="72">
        <f t="shared" si="14"/>
        <v>4390.09</v>
      </c>
      <c r="J76" s="74">
        <f t="shared" si="20"/>
        <v>4225.0087999999996</v>
      </c>
      <c r="K76" s="74">
        <f t="shared" si="21"/>
        <v>2209.91</v>
      </c>
      <c r="L76" s="74">
        <f t="shared" si="13"/>
        <v>2374.9912000000004</v>
      </c>
      <c r="M76" s="74">
        <f t="shared" si="15"/>
        <v>0.64015284848484844</v>
      </c>
      <c r="N76" s="74">
        <f t="shared" si="22"/>
        <v>0.66516515151515154</v>
      </c>
      <c r="O76" s="75">
        <f t="shared" si="16"/>
        <v>3.9072391991231005E-2</v>
      </c>
      <c r="P76" s="71">
        <v>1891</v>
      </c>
      <c r="Q76" s="71">
        <v>607</v>
      </c>
      <c r="R76" s="81"/>
      <c r="S76" s="81"/>
      <c r="T76" s="71">
        <v>2396</v>
      </c>
      <c r="U76" s="71">
        <v>3531</v>
      </c>
      <c r="V76" s="71">
        <f>1643+1591</f>
        <v>3234</v>
      </c>
      <c r="W76" s="71"/>
      <c r="X76" s="71"/>
      <c r="Y76" s="71">
        <v>11.77</v>
      </c>
      <c r="Z76" s="71"/>
      <c r="AA76" s="71"/>
      <c r="AB76" s="71">
        <v>804</v>
      </c>
      <c r="AC76" s="76">
        <f>IFERROR(AD76/E76,0)</f>
        <v>4225.0087999999996</v>
      </c>
      <c r="AD76" s="77">
        <f t="shared" si="17"/>
        <v>21125.043999999998</v>
      </c>
      <c r="AE76" s="48">
        <v>400</v>
      </c>
      <c r="AF76" s="78"/>
      <c r="AG76" s="50">
        <v>100</v>
      </c>
      <c r="AH76" s="79"/>
      <c r="AI76" s="50">
        <v>510</v>
      </c>
      <c r="AJ76" s="50">
        <v>750</v>
      </c>
      <c r="AK76" s="50">
        <f>295+300</f>
        <v>595</v>
      </c>
      <c r="AL76" s="76"/>
      <c r="AM76" s="72"/>
      <c r="AN76" s="52">
        <v>3.5</v>
      </c>
      <c r="AO76" s="50"/>
      <c r="AP76" s="76"/>
      <c r="AQ76" s="52">
        <v>150</v>
      </c>
      <c r="AR76" s="53">
        <f t="shared" si="18"/>
        <v>4390.09</v>
      </c>
      <c r="AS76" s="54">
        <f>AR76*E76</f>
        <v>21950.45</v>
      </c>
      <c r="AT76" s="43">
        <f t="shared" si="19"/>
        <v>165.08120000000054</v>
      </c>
      <c r="AU76" s="41">
        <f>IFERROR(AT76*E76,0)</f>
        <v>825.40600000000268</v>
      </c>
      <c r="AV76" s="38" t="str">
        <f>D76</f>
        <v>M50</v>
      </c>
      <c r="AW76" s="38">
        <f>P76/E76</f>
        <v>378.2</v>
      </c>
      <c r="AX76" s="38">
        <f>Q76/E76</f>
        <v>121.4</v>
      </c>
      <c r="AY76" s="38">
        <f>R76/E76</f>
        <v>0</v>
      </c>
      <c r="AZ76" s="38">
        <f>S76/E76</f>
        <v>0</v>
      </c>
      <c r="BA76" s="38">
        <f>T76/E76</f>
        <v>479.2</v>
      </c>
      <c r="BB76" s="38">
        <f>U76/E76</f>
        <v>706.2</v>
      </c>
      <c r="BC76" s="38">
        <f>V76/E76</f>
        <v>646.79999999999995</v>
      </c>
      <c r="BD76" s="38"/>
      <c r="BE76" s="38">
        <f>X76/E76</f>
        <v>0</v>
      </c>
      <c r="BF76" s="38">
        <f>Y76/E76</f>
        <v>2.3540000000000001</v>
      </c>
      <c r="BG76" s="38">
        <f>AB76/E76</f>
        <v>160.80000000000001</v>
      </c>
      <c r="BH76" s="55">
        <f>Z76/E76</f>
        <v>0</v>
      </c>
      <c r="BI76" s="38"/>
      <c r="BJ76" s="38">
        <f t="shared" si="12"/>
        <v>2494.9540000000002</v>
      </c>
    </row>
    <row r="77" spans="1:62" ht="18.75">
      <c r="A77" s="36">
        <v>45727</v>
      </c>
      <c r="B77" s="65" t="s">
        <v>81</v>
      </c>
      <c r="C77" s="72"/>
      <c r="D77" s="39" t="s">
        <v>34</v>
      </c>
      <c r="E77" s="66">
        <v>21</v>
      </c>
      <c r="F77" s="73"/>
      <c r="G77" s="37" t="s">
        <v>82</v>
      </c>
      <c r="H77" s="42">
        <v>5100</v>
      </c>
      <c r="I77" s="72">
        <f t="shared" si="14"/>
        <v>3256.6862000000001</v>
      </c>
      <c r="J77" s="74">
        <f t="shared" si="20"/>
        <v>2865.0294523809525</v>
      </c>
      <c r="K77" s="74">
        <f t="shared" si="21"/>
        <v>1843.3137999999999</v>
      </c>
      <c r="L77" s="74">
        <f t="shared" si="13"/>
        <v>2234.9705476190475</v>
      </c>
      <c r="M77" s="74">
        <f t="shared" si="15"/>
        <v>0.56177048085901027</v>
      </c>
      <c r="N77" s="74">
        <f t="shared" si="22"/>
        <v>0.63856592156862746</v>
      </c>
      <c r="O77" s="75">
        <f t="shared" si="16"/>
        <v>0.13670252055997731</v>
      </c>
      <c r="P77" s="71">
        <v>2097</v>
      </c>
      <c r="Q77" s="71">
        <v>2529</v>
      </c>
      <c r="R77" s="81"/>
      <c r="S77" s="71"/>
      <c r="T77" s="71">
        <v>10039</v>
      </c>
      <c r="U77" s="71">
        <v>14742</v>
      </c>
      <c r="V77" s="71">
        <f>9525+9509</f>
        <v>19034</v>
      </c>
      <c r="W77" s="71"/>
      <c r="X77" s="71">
        <v>17.75</v>
      </c>
      <c r="Y77" s="71"/>
      <c r="Z77" s="71"/>
      <c r="AA77" s="71"/>
      <c r="AB77" s="71">
        <v>3983</v>
      </c>
      <c r="AC77" s="76">
        <f>IFERROR(AD77/E77,0)</f>
        <v>2865.0294523809525</v>
      </c>
      <c r="AD77" s="77">
        <f t="shared" si="17"/>
        <v>60165.618500000004</v>
      </c>
      <c r="AE77" s="48">
        <v>196</v>
      </c>
      <c r="AF77" s="78"/>
      <c r="AG77" s="50">
        <v>84</v>
      </c>
      <c r="AH77" s="79"/>
      <c r="AI77" s="50">
        <v>480</v>
      </c>
      <c r="AJ77" s="50">
        <v>715</v>
      </c>
      <c r="AK77" s="50">
        <f>440+400</f>
        <v>840</v>
      </c>
      <c r="AL77" s="76"/>
      <c r="AM77" s="72"/>
      <c r="AN77" s="52"/>
      <c r="AO77" s="50">
        <v>1.96</v>
      </c>
      <c r="AP77" s="76"/>
      <c r="AQ77" s="52">
        <v>160</v>
      </c>
      <c r="AR77" s="53">
        <f t="shared" si="18"/>
        <v>3256.6862000000001</v>
      </c>
      <c r="AS77" s="54">
        <f>AR77*E77</f>
        <v>68390.410199999998</v>
      </c>
      <c r="AT77" s="43">
        <f t="shared" si="19"/>
        <v>391.65674761904756</v>
      </c>
      <c r="AU77" s="41">
        <f>IFERROR(AT77*E77,0)</f>
        <v>8224.7916999999979</v>
      </c>
      <c r="AV77" s="38" t="str">
        <f>D77</f>
        <v>M15</v>
      </c>
      <c r="AW77" s="38">
        <f>P77/E77</f>
        <v>99.857142857142861</v>
      </c>
      <c r="AX77" s="38">
        <f>Q77/E77</f>
        <v>120.42857142857143</v>
      </c>
      <c r="AY77" s="38">
        <f>R77/E77</f>
        <v>0</v>
      </c>
      <c r="AZ77" s="38">
        <f>S77/E77</f>
        <v>0</v>
      </c>
      <c r="BA77" s="38">
        <f>T77/E77</f>
        <v>478.04761904761904</v>
      </c>
      <c r="BB77" s="38">
        <f>U77/E77</f>
        <v>702</v>
      </c>
      <c r="BC77" s="38">
        <f>V77/E77</f>
        <v>906.38095238095241</v>
      </c>
      <c r="BD77" s="38"/>
      <c r="BE77" s="38">
        <f>X77/E77</f>
        <v>0.84523809523809523</v>
      </c>
      <c r="BF77" s="38">
        <f>Y77/E77</f>
        <v>0</v>
      </c>
      <c r="BG77" s="38">
        <f>AB77/E77</f>
        <v>189.66666666666666</v>
      </c>
      <c r="BH77" s="55">
        <f>Z77/E77</f>
        <v>0</v>
      </c>
      <c r="BI77" s="38"/>
      <c r="BJ77" s="38">
        <f t="shared" si="12"/>
        <v>2497.2261904761904</v>
      </c>
    </row>
    <row r="78" spans="1:62" ht="18.75">
      <c r="A78" s="36">
        <v>45727</v>
      </c>
      <c r="B78" s="37" t="s">
        <v>87</v>
      </c>
      <c r="C78" s="72"/>
      <c r="D78" s="39" t="s">
        <v>40</v>
      </c>
      <c r="E78" s="40">
        <v>6</v>
      </c>
      <c r="F78" s="73"/>
      <c r="G78" s="37" t="s">
        <v>41</v>
      </c>
      <c r="H78" s="42">
        <v>5600</v>
      </c>
      <c r="I78" s="72">
        <f t="shared" si="14"/>
        <v>3452.0828000000001</v>
      </c>
      <c r="J78" s="74">
        <f t="shared" si="20"/>
        <v>3164.9762833333334</v>
      </c>
      <c r="K78" s="74">
        <f t="shared" si="21"/>
        <v>2147.9171999999999</v>
      </c>
      <c r="L78" s="74">
        <f t="shared" si="13"/>
        <v>2435.0237166666666</v>
      </c>
      <c r="M78" s="74">
        <f t="shared" si="15"/>
        <v>0.56517433630952385</v>
      </c>
      <c r="N78" s="74">
        <f t="shared" si="22"/>
        <v>0.61644335714285714</v>
      </c>
      <c r="O78" s="75">
        <f t="shared" si="16"/>
        <v>9.0713639207522789E-2</v>
      </c>
      <c r="P78" s="71">
        <v>762</v>
      </c>
      <c r="Q78" s="71">
        <v>1152</v>
      </c>
      <c r="R78" s="81"/>
      <c r="S78" s="71"/>
      <c r="T78" s="71">
        <v>2854</v>
      </c>
      <c r="U78" s="71">
        <v>4194</v>
      </c>
      <c r="V78" s="71">
        <f>2456+2555</f>
        <v>5011</v>
      </c>
      <c r="W78" s="71"/>
      <c r="X78" s="71">
        <v>6.61</v>
      </c>
      <c r="Y78" s="71"/>
      <c r="Z78" s="71"/>
      <c r="AA78" s="71"/>
      <c r="AB78" s="71">
        <v>985</v>
      </c>
      <c r="AC78" s="76">
        <f>IFERROR(AD78/E78,0)</f>
        <v>3164.9762833333334</v>
      </c>
      <c r="AD78" s="77">
        <f t="shared" si="17"/>
        <v>18989.8577</v>
      </c>
      <c r="AE78" s="48">
        <v>224</v>
      </c>
      <c r="AF78" s="78"/>
      <c r="AG78" s="50">
        <v>96</v>
      </c>
      <c r="AH78" s="79"/>
      <c r="AI78" s="50">
        <v>495</v>
      </c>
      <c r="AJ78" s="50">
        <v>740</v>
      </c>
      <c r="AK78" s="50">
        <v>800</v>
      </c>
      <c r="AL78" s="76"/>
      <c r="AM78" s="72"/>
      <c r="AN78" s="52"/>
      <c r="AO78" s="50">
        <v>2.2400000000000002</v>
      </c>
      <c r="AP78" s="76"/>
      <c r="AQ78" s="52">
        <v>155</v>
      </c>
      <c r="AR78" s="53">
        <f t="shared" si="18"/>
        <v>3452.0828000000001</v>
      </c>
      <c r="AS78" s="54">
        <f>AR78*E78</f>
        <v>20712.496800000001</v>
      </c>
      <c r="AT78" s="43">
        <f t="shared" si="19"/>
        <v>287.10651666666672</v>
      </c>
      <c r="AU78" s="41">
        <f>IFERROR(AT78*E78,0)</f>
        <v>1722.6391000000003</v>
      </c>
      <c r="AV78" s="38" t="str">
        <f>D78</f>
        <v>M25</v>
      </c>
      <c r="AW78" s="38">
        <f>P78/E78</f>
        <v>127</v>
      </c>
      <c r="AX78" s="38">
        <f>Q78/E78</f>
        <v>192</v>
      </c>
      <c r="AY78" s="38">
        <f>R78/E78</f>
        <v>0</v>
      </c>
      <c r="AZ78" s="38">
        <f>S78/E78</f>
        <v>0</v>
      </c>
      <c r="BA78" s="38">
        <f>T78/E78</f>
        <v>475.66666666666669</v>
      </c>
      <c r="BB78" s="38">
        <f>U78/E78</f>
        <v>699</v>
      </c>
      <c r="BC78" s="38">
        <f>V78/E78</f>
        <v>835.16666666666663</v>
      </c>
      <c r="BD78" s="38"/>
      <c r="BE78" s="38">
        <f>X78/E78</f>
        <v>1.1016666666666668</v>
      </c>
      <c r="BF78" s="38">
        <f>Y78/E78</f>
        <v>0</v>
      </c>
      <c r="BG78" s="38">
        <f>AB78/E78</f>
        <v>164.16666666666666</v>
      </c>
      <c r="BH78" s="55">
        <f>Z78/E78</f>
        <v>0</v>
      </c>
      <c r="BI78" s="38"/>
      <c r="BJ78" s="38">
        <f t="shared" si="12"/>
        <v>2494.1016666666665</v>
      </c>
    </row>
    <row r="79" spans="1:62" ht="18.75">
      <c r="A79" s="36">
        <v>45727</v>
      </c>
      <c r="B79" s="37" t="s">
        <v>87</v>
      </c>
      <c r="C79" s="72"/>
      <c r="D79" s="39" t="s">
        <v>40</v>
      </c>
      <c r="E79" s="40">
        <v>30</v>
      </c>
      <c r="F79" s="73"/>
      <c r="G79" s="37" t="s">
        <v>41</v>
      </c>
      <c r="H79" s="42">
        <v>5600</v>
      </c>
      <c r="I79" s="72">
        <f t="shared" si="14"/>
        <v>3452.0828000000001</v>
      </c>
      <c r="J79" s="74">
        <f t="shared" si="20"/>
        <v>3159.6347798449619</v>
      </c>
      <c r="K79" s="74">
        <f t="shared" si="21"/>
        <v>2147.9171999999999</v>
      </c>
      <c r="L79" s="74">
        <f t="shared" si="13"/>
        <v>2440.3652201550381</v>
      </c>
      <c r="M79" s="74">
        <f t="shared" si="15"/>
        <v>0.56422049640088601</v>
      </c>
      <c r="N79" s="74">
        <f t="shared" si="22"/>
        <v>0.61644335714285714</v>
      </c>
      <c r="O79" s="75">
        <f t="shared" si="16"/>
        <v>9.255753925122584E-2</v>
      </c>
      <c r="P79" s="71">
        <v>3593.4883720930234</v>
      </c>
      <c r="Q79" s="71">
        <v>6018.3720930232557</v>
      </c>
      <c r="R79" s="71">
        <v>0</v>
      </c>
      <c r="S79" s="71">
        <v>0</v>
      </c>
      <c r="T79" s="71">
        <v>14353.488372093023</v>
      </c>
      <c r="U79" s="71">
        <v>22423.720930232557</v>
      </c>
      <c r="V79" s="71">
        <v>23486.976744186046</v>
      </c>
      <c r="W79" s="71">
        <v>0</v>
      </c>
      <c r="X79" s="71">
        <v>36.995348837209306</v>
      </c>
      <c r="Y79" s="71">
        <v>0</v>
      </c>
      <c r="Z79" s="71">
        <v>0</v>
      </c>
      <c r="AA79" s="71">
        <v>0</v>
      </c>
      <c r="AB79" s="71">
        <v>5351.6279069767443</v>
      </c>
      <c r="AC79" s="76">
        <f>IFERROR(AD79/E79,0)</f>
        <v>3159.6347798449619</v>
      </c>
      <c r="AD79" s="77">
        <f t="shared" si="17"/>
        <v>94789.043395348854</v>
      </c>
      <c r="AE79" s="48">
        <v>224</v>
      </c>
      <c r="AF79" s="78"/>
      <c r="AG79" s="50">
        <v>96</v>
      </c>
      <c r="AH79" s="79"/>
      <c r="AI79" s="50">
        <v>495</v>
      </c>
      <c r="AJ79" s="50">
        <v>740</v>
      </c>
      <c r="AK79" s="50">
        <v>800</v>
      </c>
      <c r="AL79" s="76"/>
      <c r="AM79" s="72"/>
      <c r="AN79" s="52"/>
      <c r="AO79" s="50">
        <v>2.2400000000000002</v>
      </c>
      <c r="AP79" s="76"/>
      <c r="AQ79" s="52">
        <v>155</v>
      </c>
      <c r="AR79" s="53">
        <f t="shared" si="18"/>
        <v>3452.0828000000001</v>
      </c>
      <c r="AS79" s="54">
        <f>AR79*E79</f>
        <v>103562.484</v>
      </c>
      <c r="AT79" s="43">
        <f t="shared" si="19"/>
        <v>292.44802015503819</v>
      </c>
      <c r="AU79" s="41">
        <f>IFERROR(AT79*E79,0)</f>
        <v>8773.4406046511467</v>
      </c>
      <c r="AV79" s="38" t="str">
        <f>D79</f>
        <v>M25</v>
      </c>
      <c r="AW79" s="38">
        <f>P79/E79</f>
        <v>119.78294573643412</v>
      </c>
      <c r="AX79" s="38">
        <f>Q79/E79</f>
        <v>200.6124031007752</v>
      </c>
      <c r="AY79" s="38">
        <f>R79/E79</f>
        <v>0</v>
      </c>
      <c r="AZ79" s="38">
        <f>S79/E79</f>
        <v>0</v>
      </c>
      <c r="BA79" s="38">
        <f>T79/E79</f>
        <v>478.44961240310079</v>
      </c>
      <c r="BB79" s="38">
        <f>U79/E79</f>
        <v>747.45736434108528</v>
      </c>
      <c r="BC79" s="38">
        <f>V79/E79</f>
        <v>782.89922480620157</v>
      </c>
      <c r="BD79" s="38"/>
      <c r="BE79" s="38">
        <f>X79/E79</f>
        <v>1.2331782945736436</v>
      </c>
      <c r="BF79" s="38">
        <f>Y79/E79</f>
        <v>0</v>
      </c>
      <c r="BG79" s="38">
        <f>AB79/E79</f>
        <v>178.3875968992248</v>
      </c>
      <c r="BH79" s="55">
        <f>Z79/E79</f>
        <v>0</v>
      </c>
      <c r="BI79" s="38"/>
      <c r="BJ79" s="38">
        <f t="shared" si="12"/>
        <v>2508.8223255813955</v>
      </c>
    </row>
    <row r="80" spans="1:62" ht="18.75">
      <c r="A80" s="36">
        <v>45727</v>
      </c>
      <c r="B80" s="37" t="s">
        <v>88</v>
      </c>
      <c r="C80" s="72"/>
      <c r="D80" s="39" t="s">
        <v>40</v>
      </c>
      <c r="E80" s="40">
        <v>99</v>
      </c>
      <c r="F80" s="73"/>
      <c r="G80" s="37" t="s">
        <v>41</v>
      </c>
      <c r="H80" s="42">
        <v>5850</v>
      </c>
      <c r="I80" s="72">
        <f t="shared" si="14"/>
        <v>3722.73</v>
      </c>
      <c r="J80" s="74">
        <f t="shared" si="20"/>
        <v>3159.634779844961</v>
      </c>
      <c r="K80" s="74">
        <f t="shared" si="21"/>
        <v>2127.27</v>
      </c>
      <c r="L80" s="74">
        <f t="shared" si="13"/>
        <v>2690.365220155039</v>
      </c>
      <c r="M80" s="74">
        <f t="shared" si="15"/>
        <v>0.54010850937520705</v>
      </c>
      <c r="N80" s="74">
        <f t="shared" si="22"/>
        <v>0.63636410256410259</v>
      </c>
      <c r="O80" s="75">
        <f t="shared" si="16"/>
        <v>0.17821528733224959</v>
      </c>
      <c r="P80" s="71">
        <v>11858.511627906977</v>
      </c>
      <c r="Q80" s="71">
        <v>19860.627906976744</v>
      </c>
      <c r="R80" s="71">
        <v>0</v>
      </c>
      <c r="S80" s="71">
        <v>0</v>
      </c>
      <c r="T80" s="71">
        <v>47366.511627906977</v>
      </c>
      <c r="U80" s="71">
        <v>73998.27906976745</v>
      </c>
      <c r="V80" s="71">
        <v>77507.023255813954</v>
      </c>
      <c r="W80" s="71">
        <v>0</v>
      </c>
      <c r="X80" s="71">
        <v>122.08465116279072</v>
      </c>
      <c r="Y80" s="71">
        <v>0</v>
      </c>
      <c r="Z80" s="71">
        <v>0</v>
      </c>
      <c r="AA80" s="71">
        <v>0</v>
      </c>
      <c r="AB80" s="71">
        <v>17660.372093023256</v>
      </c>
      <c r="AC80" s="76">
        <f>IFERROR(AD80/E80,0)</f>
        <v>3159.634779844961</v>
      </c>
      <c r="AD80" s="77">
        <f t="shared" si="17"/>
        <v>312803.84320465114</v>
      </c>
      <c r="AE80" s="48">
        <v>280</v>
      </c>
      <c r="AF80" s="78"/>
      <c r="AG80" s="50">
        <v>70</v>
      </c>
      <c r="AH80" s="79"/>
      <c r="AI80" s="50">
        <v>490</v>
      </c>
      <c r="AJ80" s="50">
        <v>740</v>
      </c>
      <c r="AK80" s="50">
        <v>770</v>
      </c>
      <c r="AL80" s="76"/>
      <c r="AM80" s="72"/>
      <c r="AN80" s="52">
        <v>2.4500000000000002</v>
      </c>
      <c r="AO80" s="50"/>
      <c r="AP80" s="76"/>
      <c r="AQ80" s="52">
        <v>158</v>
      </c>
      <c r="AR80" s="53">
        <f t="shared" si="18"/>
        <v>3722.73</v>
      </c>
      <c r="AS80" s="54">
        <f>AR80*E80</f>
        <v>368550.27</v>
      </c>
      <c r="AT80" s="43">
        <f t="shared" si="19"/>
        <v>563.09522015503899</v>
      </c>
      <c r="AU80" s="41">
        <f>IFERROR(AT80*E80,0)</f>
        <v>55746.42679534886</v>
      </c>
      <c r="AV80" s="38" t="str">
        <f>D80</f>
        <v>M25</v>
      </c>
      <c r="AW80" s="38">
        <f>P80/E80</f>
        <v>119.78294573643412</v>
      </c>
      <c r="AX80" s="38">
        <f>Q80/E80</f>
        <v>200.6124031007752</v>
      </c>
      <c r="AY80" s="38">
        <f>R80/E80</f>
        <v>0</v>
      </c>
      <c r="AZ80" s="38">
        <f>S80/E80</f>
        <v>0</v>
      </c>
      <c r="BA80" s="38">
        <f>T80/E80</f>
        <v>478.44961240310079</v>
      </c>
      <c r="BB80" s="38">
        <f>U80/E80</f>
        <v>747.45736434108539</v>
      </c>
      <c r="BC80" s="38">
        <f>V80/E80</f>
        <v>782.89922480620157</v>
      </c>
      <c r="BD80" s="38"/>
      <c r="BE80" s="38">
        <f>X80/E80</f>
        <v>1.2331782945736436</v>
      </c>
      <c r="BF80" s="38">
        <f>Y80/E80</f>
        <v>0</v>
      </c>
      <c r="BG80" s="38">
        <f>AB80/E80</f>
        <v>178.3875968992248</v>
      </c>
      <c r="BH80" s="55">
        <f>Z80/E80</f>
        <v>0</v>
      </c>
      <c r="BI80" s="38"/>
      <c r="BJ80" s="38">
        <f t="shared" si="12"/>
        <v>2508.8223255813955</v>
      </c>
    </row>
    <row r="81" spans="1:62" ht="18.75">
      <c r="A81" s="36">
        <v>45727</v>
      </c>
      <c r="B81" s="37" t="s">
        <v>88</v>
      </c>
      <c r="C81" s="72"/>
      <c r="D81" s="39" t="s">
        <v>40</v>
      </c>
      <c r="E81" s="40">
        <v>35</v>
      </c>
      <c r="F81" s="73"/>
      <c r="G81" s="37" t="s">
        <v>41</v>
      </c>
      <c r="H81" s="42">
        <v>5850</v>
      </c>
      <c r="I81" s="72">
        <f t="shared" si="14"/>
        <v>3722.73</v>
      </c>
      <c r="J81" s="74">
        <f t="shared" si="20"/>
        <v>3436.3682885714288</v>
      </c>
      <c r="K81" s="74">
        <f t="shared" si="21"/>
        <v>2127.27</v>
      </c>
      <c r="L81" s="74">
        <f t="shared" si="13"/>
        <v>2413.6317114285712</v>
      </c>
      <c r="M81" s="74">
        <f t="shared" si="15"/>
        <v>0.58741338266178267</v>
      </c>
      <c r="N81" s="74">
        <f t="shared" si="22"/>
        <v>0.63636410256410259</v>
      </c>
      <c r="O81" s="75">
        <f t="shared" si="16"/>
        <v>8.3332660349865514E-2</v>
      </c>
      <c r="P81" s="71">
        <v>8011</v>
      </c>
      <c r="Q81" s="71">
        <v>3518</v>
      </c>
      <c r="R81" s="71">
        <v>0</v>
      </c>
      <c r="S81" s="71">
        <v>0</v>
      </c>
      <c r="T81" s="71">
        <v>17190</v>
      </c>
      <c r="U81" s="71">
        <v>26004</v>
      </c>
      <c r="V81" s="71">
        <f>13339+13360</f>
        <v>26699</v>
      </c>
      <c r="W81" s="71">
        <v>0</v>
      </c>
      <c r="X81" s="71">
        <v>60.13</v>
      </c>
      <c r="Y81" s="71">
        <v>0</v>
      </c>
      <c r="Z81" s="71">
        <v>0</v>
      </c>
      <c r="AA81" s="71">
        <v>0</v>
      </c>
      <c r="AB81" s="71">
        <v>6352</v>
      </c>
      <c r="AC81" s="76">
        <f>IFERROR(AD81/E81,0)</f>
        <v>3436.3682885714288</v>
      </c>
      <c r="AD81" s="77">
        <f t="shared" si="17"/>
        <v>120272.8901</v>
      </c>
      <c r="AE81" s="48">
        <v>280</v>
      </c>
      <c r="AF81" s="78"/>
      <c r="AG81" s="50">
        <v>70</v>
      </c>
      <c r="AH81" s="79"/>
      <c r="AI81" s="50">
        <v>490</v>
      </c>
      <c r="AJ81" s="50">
        <v>740</v>
      </c>
      <c r="AK81" s="50">
        <v>770</v>
      </c>
      <c r="AL81" s="76"/>
      <c r="AM81" s="72"/>
      <c r="AN81" s="52">
        <v>2.4500000000000002</v>
      </c>
      <c r="AO81" s="50"/>
      <c r="AP81" s="76"/>
      <c r="AQ81" s="52">
        <v>158</v>
      </c>
      <c r="AR81" s="53">
        <f t="shared" si="18"/>
        <v>3722.73</v>
      </c>
      <c r="AS81" s="54">
        <f>AR81*E81</f>
        <v>130295.55</v>
      </c>
      <c r="AT81" s="43">
        <f t="shared" si="19"/>
        <v>286.3617114285712</v>
      </c>
      <c r="AU81" s="41">
        <f>IFERROR(AT81*E81,0)</f>
        <v>10022.659899999991</v>
      </c>
      <c r="AV81" s="38" t="str">
        <f>D81</f>
        <v>M25</v>
      </c>
      <c r="AW81" s="38">
        <f>P81/E81</f>
        <v>228.88571428571427</v>
      </c>
      <c r="AX81" s="38">
        <f>Q81/E81</f>
        <v>100.51428571428572</v>
      </c>
      <c r="AY81" s="38">
        <f>R81/E81</f>
        <v>0</v>
      </c>
      <c r="AZ81" s="38">
        <f>S81/E81</f>
        <v>0</v>
      </c>
      <c r="BA81" s="38">
        <f>T81/E81</f>
        <v>491.14285714285717</v>
      </c>
      <c r="BB81" s="38">
        <f>U81/E81</f>
        <v>742.97142857142853</v>
      </c>
      <c r="BC81" s="38">
        <f>V81/E81</f>
        <v>762.82857142857142</v>
      </c>
      <c r="BD81" s="38"/>
      <c r="BE81" s="38">
        <f>X81/E81</f>
        <v>1.718</v>
      </c>
      <c r="BF81" s="38">
        <f>Y81/E81</f>
        <v>0</v>
      </c>
      <c r="BG81" s="38">
        <f>AB81/E81</f>
        <v>181.48571428571429</v>
      </c>
      <c r="BH81" s="55">
        <f>Z81/E81</f>
        <v>0</v>
      </c>
      <c r="BI81" s="38"/>
      <c r="BJ81" s="38">
        <f t="shared" si="12"/>
        <v>2509.5465714285715</v>
      </c>
    </row>
    <row r="82" spans="1:62" ht="18.75">
      <c r="A82" s="36">
        <v>45727</v>
      </c>
      <c r="B82" s="37" t="s">
        <v>47</v>
      </c>
      <c r="C82" s="72"/>
      <c r="D82" s="39" t="s">
        <v>43</v>
      </c>
      <c r="E82" s="66">
        <v>30</v>
      </c>
      <c r="F82" s="73"/>
      <c r="G82" s="37" t="s">
        <v>78</v>
      </c>
      <c r="H82" s="42">
        <v>5700</v>
      </c>
      <c r="I82" s="72">
        <f t="shared" si="14"/>
        <v>3886.9700000000003</v>
      </c>
      <c r="J82" s="74">
        <f t="shared" si="20"/>
        <v>3644.2661633333332</v>
      </c>
      <c r="K82" s="74">
        <f t="shared" si="21"/>
        <v>1813.0299999999997</v>
      </c>
      <c r="L82" s="74">
        <f t="shared" si="13"/>
        <v>2055.7338366666668</v>
      </c>
      <c r="M82" s="74">
        <f t="shared" si="15"/>
        <v>0.63934494093567251</v>
      </c>
      <c r="N82" s="74">
        <f t="shared" si="22"/>
        <v>0.68192456140350877</v>
      </c>
      <c r="O82" s="75">
        <f t="shared" si="16"/>
        <v>6.6598822860037904E-2</v>
      </c>
      <c r="P82" s="71">
        <v>7758</v>
      </c>
      <c r="Q82" s="71">
        <v>4222</v>
      </c>
      <c r="R82" s="81"/>
      <c r="S82" s="71"/>
      <c r="T82" s="71">
        <v>14631</v>
      </c>
      <c r="U82" s="71">
        <v>21307</v>
      </c>
      <c r="V82" s="71">
        <f>10769+10792</f>
        <v>21561</v>
      </c>
      <c r="W82" s="71"/>
      <c r="X82" s="71">
        <v>52.47</v>
      </c>
      <c r="Y82" s="71"/>
      <c r="Z82" s="71"/>
      <c r="AA82" s="71"/>
      <c r="AB82" s="71">
        <v>5799</v>
      </c>
      <c r="AC82" s="76">
        <f>IFERROR(AD82/E82,0)</f>
        <v>3644.2661633333332</v>
      </c>
      <c r="AD82" s="77">
        <f t="shared" si="17"/>
        <v>109327.9849</v>
      </c>
      <c r="AE82" s="48">
        <v>320</v>
      </c>
      <c r="AF82" s="78"/>
      <c r="AG82" s="50">
        <v>80</v>
      </c>
      <c r="AH82" s="79"/>
      <c r="AI82" s="50">
        <v>515</v>
      </c>
      <c r="AJ82" s="50">
        <v>780</v>
      </c>
      <c r="AK82" s="50">
        <f>360+300</f>
        <v>660</v>
      </c>
      <c r="AL82" s="76"/>
      <c r="AM82" s="72"/>
      <c r="AN82" s="52">
        <v>2</v>
      </c>
      <c r="AO82" s="50"/>
      <c r="AP82" s="76"/>
      <c r="AQ82" s="52">
        <v>152</v>
      </c>
      <c r="AR82" s="53">
        <f t="shared" si="18"/>
        <v>3886.9700000000003</v>
      </c>
      <c r="AS82" s="54">
        <f>AR82*E82</f>
        <v>116609.1</v>
      </c>
      <c r="AT82" s="43">
        <f t="shared" si="19"/>
        <v>242.70383666666703</v>
      </c>
      <c r="AU82" s="41">
        <f>IFERROR(AT82*E82,0)</f>
        <v>7281.1151000000109</v>
      </c>
      <c r="AV82" s="38" t="str">
        <f>D82</f>
        <v>M30</v>
      </c>
      <c r="AW82" s="38">
        <f>P82/E82</f>
        <v>258.60000000000002</v>
      </c>
      <c r="AX82" s="38">
        <f>Q82/E82</f>
        <v>140.73333333333332</v>
      </c>
      <c r="AY82" s="38">
        <f>R82/E82</f>
        <v>0</v>
      </c>
      <c r="AZ82" s="38">
        <f>S82/E82</f>
        <v>0</v>
      </c>
      <c r="BA82" s="38">
        <f>T82/E82</f>
        <v>487.7</v>
      </c>
      <c r="BB82" s="38">
        <f>U82/E82</f>
        <v>710.23333333333335</v>
      </c>
      <c r="BC82" s="38">
        <f>V82/E82</f>
        <v>718.7</v>
      </c>
      <c r="BD82" s="38"/>
      <c r="BE82" s="38">
        <f>X82/E82</f>
        <v>1.7489999999999999</v>
      </c>
      <c r="BF82" s="38">
        <f>Y82/E82</f>
        <v>0</v>
      </c>
      <c r="BG82" s="38">
        <f>AB82/E82</f>
        <v>193.3</v>
      </c>
      <c r="BH82" s="55">
        <f>Z82/E82</f>
        <v>0</v>
      </c>
      <c r="BI82" s="38"/>
      <c r="BJ82" s="38">
        <f t="shared" si="12"/>
        <v>2511.0156666666667</v>
      </c>
    </row>
    <row r="83" spans="1:62" ht="18.75">
      <c r="A83" s="36">
        <v>45727</v>
      </c>
      <c r="B83" s="37" t="s">
        <v>45</v>
      </c>
      <c r="C83" s="72"/>
      <c r="D83" s="39" t="s">
        <v>43</v>
      </c>
      <c r="E83" s="66">
        <v>24</v>
      </c>
      <c r="F83" s="73"/>
      <c r="G83" s="37" t="s">
        <v>46</v>
      </c>
      <c r="H83" s="42">
        <v>6000</v>
      </c>
      <c r="I83" s="72">
        <f t="shared" si="14"/>
        <v>4033.4050000000002</v>
      </c>
      <c r="J83" s="74">
        <f t="shared" si="20"/>
        <v>3529.8352250000003</v>
      </c>
      <c r="K83" s="74">
        <f t="shared" si="21"/>
        <v>1966.5949999999998</v>
      </c>
      <c r="L83" s="74">
        <f t="shared" si="13"/>
        <v>2470.1647749999997</v>
      </c>
      <c r="M83" s="74">
        <f t="shared" si="15"/>
        <v>0.58830587083333341</v>
      </c>
      <c r="N83" s="74">
        <f t="shared" si="22"/>
        <v>0.67223416666666669</v>
      </c>
      <c r="O83" s="75">
        <f t="shared" si="16"/>
        <v>0.14266098639207717</v>
      </c>
      <c r="P83" s="71">
        <v>5975</v>
      </c>
      <c r="Q83" s="71">
        <v>2657</v>
      </c>
      <c r="R83" s="81"/>
      <c r="S83" s="71"/>
      <c r="T83" s="71">
        <v>11688</v>
      </c>
      <c r="U83" s="71">
        <v>17350</v>
      </c>
      <c r="V83" s="71">
        <f>8895+8967</f>
        <v>17862</v>
      </c>
      <c r="W83" s="71"/>
      <c r="X83" s="71">
        <v>39.119999999999997</v>
      </c>
      <c r="Y83" s="71"/>
      <c r="Z83" s="71"/>
      <c r="AA83" s="71"/>
      <c r="AB83" s="71">
        <v>4361</v>
      </c>
      <c r="AC83" s="76">
        <f>IFERROR(AD83/E83,0)</f>
        <v>3529.8352250000003</v>
      </c>
      <c r="AD83" s="77">
        <f t="shared" si="17"/>
        <v>84716.045400000003</v>
      </c>
      <c r="AE83" s="48">
        <v>380</v>
      </c>
      <c r="AF83" s="78"/>
      <c r="AG83" s="50">
        <v>0</v>
      </c>
      <c r="AH83" s="79"/>
      <c r="AI83" s="50">
        <v>495</v>
      </c>
      <c r="AJ83" s="50">
        <v>745</v>
      </c>
      <c r="AK83" s="50">
        <f>380+380</f>
        <v>760</v>
      </c>
      <c r="AL83" s="76"/>
      <c r="AM83" s="72"/>
      <c r="AN83" s="52">
        <v>2.4700000000000002</v>
      </c>
      <c r="AO83" s="50"/>
      <c r="AP83" s="76"/>
      <c r="AQ83" s="52">
        <v>144</v>
      </c>
      <c r="AR83" s="53">
        <f t="shared" si="18"/>
        <v>4033.4050000000002</v>
      </c>
      <c r="AS83" s="54">
        <f>AR83*E83</f>
        <v>96801.72</v>
      </c>
      <c r="AT83" s="43">
        <f t="shared" si="19"/>
        <v>503.56977499999994</v>
      </c>
      <c r="AU83" s="41">
        <f>IFERROR(AT83*E83,0)</f>
        <v>12085.674599999998</v>
      </c>
      <c r="AV83" s="38" t="str">
        <f>D83</f>
        <v>M30</v>
      </c>
      <c r="AW83" s="38">
        <f>P83/E83</f>
        <v>248.95833333333334</v>
      </c>
      <c r="AX83" s="38">
        <f>Q83/E83</f>
        <v>110.70833333333333</v>
      </c>
      <c r="AY83" s="38">
        <f>R83/E83</f>
        <v>0</v>
      </c>
      <c r="AZ83" s="38">
        <f>S83/E83</f>
        <v>0</v>
      </c>
      <c r="BA83" s="38">
        <f>T83/E83</f>
        <v>487</v>
      </c>
      <c r="BB83" s="38">
        <f>U83/E83</f>
        <v>722.91666666666663</v>
      </c>
      <c r="BC83" s="38">
        <f>V83/E83</f>
        <v>744.25</v>
      </c>
      <c r="BD83" s="38"/>
      <c r="BE83" s="38">
        <f>X83/E83</f>
        <v>1.63</v>
      </c>
      <c r="BF83" s="38">
        <f>Y83/E83</f>
        <v>0</v>
      </c>
      <c r="BG83" s="38">
        <f>AB83/E83</f>
        <v>181.70833333333334</v>
      </c>
      <c r="BH83" s="55">
        <f>Z83/E83</f>
        <v>0</v>
      </c>
      <c r="BI83" s="38"/>
      <c r="BJ83" s="38">
        <f t="shared" si="12"/>
        <v>2497.1716666666671</v>
      </c>
    </row>
    <row r="84" spans="1:62" ht="18.75">
      <c r="A84" s="36">
        <v>45727</v>
      </c>
      <c r="B84" s="65" t="s">
        <v>47</v>
      </c>
      <c r="C84" s="72"/>
      <c r="D84" s="39" t="s">
        <v>48</v>
      </c>
      <c r="E84" s="66">
        <v>4</v>
      </c>
      <c r="F84" s="73"/>
      <c r="G84" s="37" t="s">
        <v>49</v>
      </c>
      <c r="H84" s="42">
        <v>6600</v>
      </c>
      <c r="I84" s="72">
        <f t="shared" si="14"/>
        <v>4390.09</v>
      </c>
      <c r="J84" s="74">
        <f t="shared" si="20"/>
        <v>4254.6020000000008</v>
      </c>
      <c r="K84" s="74">
        <f t="shared" si="21"/>
        <v>2209.91</v>
      </c>
      <c r="L84" s="74">
        <f t="shared" si="13"/>
        <v>2345.3979999999992</v>
      </c>
      <c r="M84" s="74">
        <f t="shared" si="15"/>
        <v>0.64463666666666675</v>
      </c>
      <c r="N84" s="74">
        <f t="shared" si="22"/>
        <v>0.66516515151515154</v>
      </c>
      <c r="O84" s="75">
        <f t="shared" si="16"/>
        <v>3.184504684574483E-2</v>
      </c>
      <c r="P84" s="71">
        <v>1512</v>
      </c>
      <c r="Q84" s="71">
        <v>484</v>
      </c>
      <c r="R84" s="81"/>
      <c r="S84" s="71"/>
      <c r="T84" s="71">
        <v>1898</v>
      </c>
      <c r="U84" s="71">
        <v>2856</v>
      </c>
      <c r="V84" s="71">
        <f>1324+1284</f>
        <v>2608</v>
      </c>
      <c r="W84" s="71"/>
      <c r="X84" s="71"/>
      <c r="Y84" s="71">
        <v>10.76</v>
      </c>
      <c r="Z84" s="71"/>
      <c r="AA84" s="71"/>
      <c r="AB84" s="71">
        <v>644</v>
      </c>
      <c r="AC84" s="76">
        <f>IFERROR(AD84/E84,0)</f>
        <v>4254.6020000000008</v>
      </c>
      <c r="AD84" s="77">
        <f t="shared" si="17"/>
        <v>17018.408000000003</v>
      </c>
      <c r="AE84" s="48">
        <v>400</v>
      </c>
      <c r="AF84" s="78"/>
      <c r="AG84" s="50">
        <v>100</v>
      </c>
      <c r="AH84" s="79"/>
      <c r="AI84" s="50">
        <v>510</v>
      </c>
      <c r="AJ84" s="50">
        <v>750</v>
      </c>
      <c r="AK84" s="50">
        <f>295+300</f>
        <v>595</v>
      </c>
      <c r="AL84" s="76"/>
      <c r="AM84" s="72"/>
      <c r="AN84" s="52">
        <v>3.5</v>
      </c>
      <c r="AO84" s="50"/>
      <c r="AP84" s="76"/>
      <c r="AQ84" s="52">
        <v>150</v>
      </c>
      <c r="AR84" s="53">
        <f t="shared" si="18"/>
        <v>4390.09</v>
      </c>
      <c r="AS84" s="54">
        <f>AR84*E84</f>
        <v>17560.36</v>
      </c>
      <c r="AT84" s="43">
        <f t="shared" si="19"/>
        <v>135.48799999999937</v>
      </c>
      <c r="AU84" s="41">
        <f>IFERROR(AT84*E84,0)</f>
        <v>541.9519999999975</v>
      </c>
      <c r="AV84" s="38" t="str">
        <f>D84</f>
        <v>M50</v>
      </c>
      <c r="AW84" s="38">
        <f>P84/E84</f>
        <v>378</v>
      </c>
      <c r="AX84" s="38">
        <f>Q84/E84</f>
        <v>121</v>
      </c>
      <c r="AY84" s="38">
        <f>R84/E84</f>
        <v>0</v>
      </c>
      <c r="AZ84" s="38">
        <f>S84/E84</f>
        <v>0</v>
      </c>
      <c r="BA84" s="38">
        <f>T84/E84</f>
        <v>474.5</v>
      </c>
      <c r="BB84" s="38">
        <f>U84/E84</f>
        <v>714</v>
      </c>
      <c r="BC84" s="38">
        <f>V84/E84</f>
        <v>652</v>
      </c>
      <c r="BD84" s="38"/>
      <c r="BE84" s="38">
        <f>X84/E84</f>
        <v>0</v>
      </c>
      <c r="BF84" s="38">
        <f>Y84/E84</f>
        <v>2.69</v>
      </c>
      <c r="BG84" s="38">
        <f>AB84/E84</f>
        <v>161</v>
      </c>
      <c r="BH84" s="55">
        <f>Z84/E84</f>
        <v>0</v>
      </c>
      <c r="BI84" s="38"/>
      <c r="BJ84" s="38">
        <f t="shared" si="12"/>
        <v>2503.19</v>
      </c>
    </row>
    <row r="85" spans="1:62" ht="18.75">
      <c r="A85" s="36">
        <v>45728</v>
      </c>
      <c r="B85" s="65" t="s">
        <v>81</v>
      </c>
      <c r="C85" s="72"/>
      <c r="D85" s="39" t="s">
        <v>34</v>
      </c>
      <c r="E85" s="66">
        <v>20</v>
      </c>
      <c r="F85" s="73"/>
      <c r="G85" s="37" t="s">
        <v>82</v>
      </c>
      <c r="H85" s="42">
        <v>5100</v>
      </c>
      <c r="I85" s="72">
        <f t="shared" si="14"/>
        <v>3256.6862000000001</v>
      </c>
      <c r="J85" s="74">
        <f t="shared" si="20"/>
        <v>2866.8844750000003</v>
      </c>
      <c r="K85" s="74">
        <f t="shared" si="21"/>
        <v>1843.3137999999999</v>
      </c>
      <c r="L85" s="74">
        <f t="shared" si="13"/>
        <v>2233.1155249999997</v>
      </c>
      <c r="M85" s="74">
        <f t="shared" si="15"/>
        <v>0.5621342107843138</v>
      </c>
      <c r="N85" s="74">
        <f t="shared" si="22"/>
        <v>0.63856592156862746</v>
      </c>
      <c r="O85" s="75">
        <f t="shared" si="16"/>
        <v>0.13596701520384757</v>
      </c>
      <c r="P85" s="71">
        <v>1997</v>
      </c>
      <c r="Q85" s="71">
        <v>2416</v>
      </c>
      <c r="R85" s="81"/>
      <c r="S85" s="71"/>
      <c r="T85" s="71">
        <v>9560</v>
      </c>
      <c r="U85" s="71">
        <v>14003</v>
      </c>
      <c r="V85" s="71">
        <v>18152</v>
      </c>
      <c r="W85" s="71"/>
      <c r="X85" s="71">
        <v>17.850000000000001</v>
      </c>
      <c r="Y85" s="71"/>
      <c r="Z85" s="71"/>
      <c r="AA85" s="71"/>
      <c r="AB85" s="71">
        <v>3655</v>
      </c>
      <c r="AC85" s="76">
        <f>IFERROR(AD85/E85,0)</f>
        <v>2866.8844750000003</v>
      </c>
      <c r="AD85" s="77">
        <f t="shared" si="17"/>
        <v>57337.689500000008</v>
      </c>
      <c r="AE85" s="48">
        <v>196</v>
      </c>
      <c r="AF85" s="78"/>
      <c r="AG85" s="50">
        <v>84</v>
      </c>
      <c r="AH85" s="79"/>
      <c r="AI85" s="50">
        <v>480</v>
      </c>
      <c r="AJ85" s="50">
        <v>715</v>
      </c>
      <c r="AK85" s="50">
        <f>440+400</f>
        <v>840</v>
      </c>
      <c r="AL85" s="76"/>
      <c r="AM85" s="72"/>
      <c r="AN85" s="52"/>
      <c r="AO85" s="50">
        <v>1.96</v>
      </c>
      <c r="AP85" s="76"/>
      <c r="AQ85" s="52">
        <v>160</v>
      </c>
      <c r="AR85" s="53">
        <f t="shared" si="18"/>
        <v>3256.6862000000001</v>
      </c>
      <c r="AS85" s="54">
        <f>AR85*E85</f>
        <v>65133.724000000002</v>
      </c>
      <c r="AT85" s="43">
        <f t="shared" si="19"/>
        <v>389.80172499999981</v>
      </c>
      <c r="AU85" s="41">
        <f>IFERROR(AT85*E85,0)</f>
        <v>7796.0344999999961</v>
      </c>
      <c r="AV85" s="38" t="str">
        <f>D85</f>
        <v>M15</v>
      </c>
      <c r="AW85" s="38">
        <f>P85/E85</f>
        <v>99.85</v>
      </c>
      <c r="AX85" s="38">
        <f>Q85/E85</f>
        <v>120.8</v>
      </c>
      <c r="AY85" s="38">
        <f>R85/E85</f>
        <v>0</v>
      </c>
      <c r="AZ85" s="38">
        <f>S85/E85</f>
        <v>0</v>
      </c>
      <c r="BA85" s="38">
        <f>T85/E85</f>
        <v>478</v>
      </c>
      <c r="BB85" s="38">
        <f>U85/E85</f>
        <v>700.15</v>
      </c>
      <c r="BC85" s="38">
        <f>V85/E85</f>
        <v>907.6</v>
      </c>
      <c r="BD85" s="38"/>
      <c r="BE85" s="38">
        <f>X85/E85</f>
        <v>0.89250000000000007</v>
      </c>
      <c r="BF85" s="38">
        <f>Y85/E85</f>
        <v>0</v>
      </c>
      <c r="BG85" s="38">
        <f>AB85/E85</f>
        <v>182.75</v>
      </c>
      <c r="BH85" s="55">
        <f>Z85/E85</f>
        <v>0</v>
      </c>
      <c r="BI85" s="38"/>
      <c r="BJ85" s="38">
        <f t="shared" si="12"/>
        <v>2490.0425</v>
      </c>
    </row>
    <row r="86" spans="1:62" ht="18.75">
      <c r="A86" s="36">
        <v>45728</v>
      </c>
      <c r="B86" s="37" t="s">
        <v>89</v>
      </c>
      <c r="C86" s="72"/>
      <c r="D86" s="39" t="s">
        <v>40</v>
      </c>
      <c r="E86" s="40">
        <v>7</v>
      </c>
      <c r="F86" s="73"/>
      <c r="G86" s="37" t="s">
        <v>41</v>
      </c>
      <c r="H86" s="42">
        <v>5600</v>
      </c>
      <c r="I86" s="72">
        <f t="shared" si="14"/>
        <v>3452.0828000000001</v>
      </c>
      <c r="J86" s="74">
        <f t="shared" si="20"/>
        <v>3160.7231826923075</v>
      </c>
      <c r="K86" s="74">
        <f t="shared" si="21"/>
        <v>2147.9171999999999</v>
      </c>
      <c r="L86" s="74">
        <f t="shared" si="13"/>
        <v>2439.2768173076925</v>
      </c>
      <c r="M86" s="74">
        <f t="shared" si="15"/>
        <v>0.56441485405219782</v>
      </c>
      <c r="N86" s="74">
        <f t="shared" si="22"/>
        <v>0.61644335714285714</v>
      </c>
      <c r="O86" s="75">
        <f t="shared" si="16"/>
        <v>9.2181314359681354E-2</v>
      </c>
      <c r="P86" s="71">
        <v>837.57692307692309</v>
      </c>
      <c r="Q86" s="71">
        <v>1402.8269230769231</v>
      </c>
      <c r="R86" s="81"/>
      <c r="S86" s="71"/>
      <c r="T86" s="71">
        <v>3367.9423076923076</v>
      </c>
      <c r="U86" s="71">
        <v>5234.9230769230762</v>
      </c>
      <c r="V86" s="71">
        <v>5462.8269230769238</v>
      </c>
      <c r="W86" s="71"/>
      <c r="X86" s="71">
        <v>8.9990384615384613</v>
      </c>
      <c r="Y86" s="71"/>
      <c r="Z86" s="71"/>
      <c r="AA86" s="71"/>
      <c r="AB86" s="71">
        <v>1220.4230769230769</v>
      </c>
      <c r="AC86" s="76">
        <f>IFERROR(AD86/E86,0)</f>
        <v>3160.7231826923075</v>
      </c>
      <c r="AD86" s="77">
        <f t="shared" si="17"/>
        <v>22125.062278846151</v>
      </c>
      <c r="AE86" s="48">
        <v>224</v>
      </c>
      <c r="AF86" s="78"/>
      <c r="AG86" s="50">
        <v>96</v>
      </c>
      <c r="AH86" s="79"/>
      <c r="AI86" s="50">
        <v>495</v>
      </c>
      <c r="AJ86" s="50">
        <v>740</v>
      </c>
      <c r="AK86" s="50">
        <v>800</v>
      </c>
      <c r="AL86" s="76"/>
      <c r="AM86" s="72"/>
      <c r="AN86" s="52"/>
      <c r="AO86" s="50">
        <v>2.2400000000000002</v>
      </c>
      <c r="AP86" s="76"/>
      <c r="AQ86" s="52">
        <v>155</v>
      </c>
      <c r="AR86" s="53">
        <f t="shared" si="18"/>
        <v>3452.0828000000001</v>
      </c>
      <c r="AS86" s="54">
        <f>AR86*E86</f>
        <v>24164.579600000001</v>
      </c>
      <c r="AT86" s="43">
        <f t="shared" si="19"/>
        <v>291.35961730769259</v>
      </c>
      <c r="AU86" s="41">
        <f>IFERROR(AT86*E86,0)</f>
        <v>2039.5173211538481</v>
      </c>
      <c r="AV86" s="38" t="str">
        <f>D86</f>
        <v>M25</v>
      </c>
      <c r="AW86" s="38">
        <f>P86/E86</f>
        <v>119.65384615384616</v>
      </c>
      <c r="AX86" s="38">
        <f>Q86/E86</f>
        <v>200.40384615384616</v>
      </c>
      <c r="AY86" s="38">
        <f>R86/E86</f>
        <v>0</v>
      </c>
      <c r="AZ86" s="38">
        <f>S86/E86</f>
        <v>0</v>
      </c>
      <c r="BA86" s="38">
        <f>T86/E86</f>
        <v>481.13461538461536</v>
      </c>
      <c r="BB86" s="38">
        <f>U86/E86</f>
        <v>747.8461538461537</v>
      </c>
      <c r="BC86" s="38">
        <f>V86/E86</f>
        <v>780.4038461538463</v>
      </c>
      <c r="BD86" s="38"/>
      <c r="BE86" s="38">
        <f>X86/E86</f>
        <v>1.285576923076923</v>
      </c>
      <c r="BF86" s="38">
        <f>Y86/E86</f>
        <v>0</v>
      </c>
      <c r="BG86" s="38">
        <f>AB86/E86</f>
        <v>174.34615384615384</v>
      </c>
      <c r="BH86" s="55">
        <f>Z86/E86</f>
        <v>0</v>
      </c>
      <c r="BI86" s="38"/>
      <c r="BJ86" s="38">
        <f t="shared" si="12"/>
        <v>2505.0740384615383</v>
      </c>
    </row>
    <row r="87" spans="1:62" ht="18.75">
      <c r="A87" s="36">
        <v>45728</v>
      </c>
      <c r="B87" s="37" t="s">
        <v>63</v>
      </c>
      <c r="C87" s="72"/>
      <c r="D87" s="39" t="s">
        <v>40</v>
      </c>
      <c r="E87" s="40">
        <v>40</v>
      </c>
      <c r="F87" s="73"/>
      <c r="G87" s="37" t="s">
        <v>64</v>
      </c>
      <c r="H87" s="42">
        <v>5700</v>
      </c>
      <c r="I87" s="72">
        <f t="shared" si="14"/>
        <v>3707.0834</v>
      </c>
      <c r="J87" s="74">
        <f t="shared" si="20"/>
        <v>3160.723182692308</v>
      </c>
      <c r="K87" s="74">
        <f t="shared" si="21"/>
        <v>1992.9166</v>
      </c>
      <c r="L87" s="74">
        <f t="shared" si="13"/>
        <v>2539.276817307692</v>
      </c>
      <c r="M87" s="74">
        <f t="shared" si="15"/>
        <v>0.55451283906882598</v>
      </c>
      <c r="N87" s="74">
        <f t="shared" si="22"/>
        <v>0.65036550877192978</v>
      </c>
      <c r="O87" s="75">
        <f t="shared" si="16"/>
        <v>0.17285924319455945</v>
      </c>
      <c r="P87" s="71">
        <v>4786.1538461538466</v>
      </c>
      <c r="Q87" s="71">
        <v>8016.1538461538466</v>
      </c>
      <c r="R87" s="81"/>
      <c r="S87" s="71"/>
      <c r="T87" s="71">
        <v>19245.384615384613</v>
      </c>
      <c r="U87" s="71">
        <v>29913.846153846152</v>
      </c>
      <c r="V87" s="71">
        <v>31216.153846153848</v>
      </c>
      <c r="W87" s="71"/>
      <c r="X87" s="71">
        <v>51.42307692307692</v>
      </c>
      <c r="Y87" s="71"/>
      <c r="Z87" s="71"/>
      <c r="AA87" s="71"/>
      <c r="AB87" s="71">
        <v>6973.8461538461534</v>
      </c>
      <c r="AC87" s="76">
        <f>IFERROR(AD87/E87,0)</f>
        <v>3160.723182692308</v>
      </c>
      <c r="AD87" s="77">
        <f t="shared" si="17"/>
        <v>126428.92730769231</v>
      </c>
      <c r="AE87" s="48">
        <v>288</v>
      </c>
      <c r="AF87" s="78"/>
      <c r="AG87" s="50">
        <v>72</v>
      </c>
      <c r="AH87" s="79"/>
      <c r="AI87" s="50">
        <v>495</v>
      </c>
      <c r="AJ87" s="50">
        <v>743</v>
      </c>
      <c r="AK87" s="50">
        <v>775</v>
      </c>
      <c r="AL87" s="76"/>
      <c r="AM87" s="72"/>
      <c r="AN87" s="52"/>
      <c r="AO87" s="50">
        <v>2.52</v>
      </c>
      <c r="AP87" s="76"/>
      <c r="AQ87" s="52">
        <v>160</v>
      </c>
      <c r="AR87" s="53">
        <f t="shared" si="18"/>
        <v>3707.0834</v>
      </c>
      <c r="AS87" s="54">
        <f>AR87*E87</f>
        <v>148283.33600000001</v>
      </c>
      <c r="AT87" s="43">
        <f t="shared" si="19"/>
        <v>546.36021730769198</v>
      </c>
      <c r="AU87" s="41">
        <f>IFERROR(AT87*E87,0)</f>
        <v>21854.408692307679</v>
      </c>
      <c r="AV87" s="38" t="str">
        <f>D87</f>
        <v>M25</v>
      </c>
      <c r="AW87" s="38">
        <f>P87/E87</f>
        <v>119.65384615384616</v>
      </c>
      <c r="AX87" s="38">
        <f>Q87/E87</f>
        <v>200.40384615384616</v>
      </c>
      <c r="AY87" s="38">
        <f>R87/E87</f>
        <v>0</v>
      </c>
      <c r="AZ87" s="38">
        <f>S87/E87</f>
        <v>0</v>
      </c>
      <c r="BA87" s="38">
        <f>T87/E87</f>
        <v>481.13461538461536</v>
      </c>
      <c r="BB87" s="38">
        <f>U87/E87</f>
        <v>747.84615384615381</v>
      </c>
      <c r="BC87" s="38">
        <f>V87/E87</f>
        <v>780.40384615384619</v>
      </c>
      <c r="BD87" s="38"/>
      <c r="BE87" s="38">
        <f>X87/E87</f>
        <v>1.285576923076923</v>
      </c>
      <c r="BF87" s="38">
        <f>Y87/E87</f>
        <v>0</v>
      </c>
      <c r="BG87" s="38">
        <f>AB87/E87</f>
        <v>174.34615384615384</v>
      </c>
      <c r="BH87" s="55">
        <f>Z87/E87</f>
        <v>0</v>
      </c>
      <c r="BI87" s="38"/>
      <c r="BJ87" s="38">
        <f t="shared" si="12"/>
        <v>2505.0740384615383</v>
      </c>
    </row>
    <row r="88" spans="1:62" ht="18.75">
      <c r="A88" s="36">
        <v>45728</v>
      </c>
      <c r="B88" s="37" t="s">
        <v>36</v>
      </c>
      <c r="C88" s="72"/>
      <c r="D88" s="39" t="s">
        <v>43</v>
      </c>
      <c r="E88" s="66">
        <v>7</v>
      </c>
      <c r="F88" s="73"/>
      <c r="G88" s="37" t="s">
        <v>59</v>
      </c>
      <c r="H88" s="42">
        <v>5900</v>
      </c>
      <c r="I88" s="72">
        <f t="shared" si="14"/>
        <v>3627.3514</v>
      </c>
      <c r="J88" s="74">
        <f t="shared" si="20"/>
        <v>3296.1138911564626</v>
      </c>
      <c r="K88" s="74">
        <f t="shared" si="21"/>
        <v>2272.6486</v>
      </c>
      <c r="L88" s="74">
        <f t="shared" si="13"/>
        <v>2603.8861088435374</v>
      </c>
      <c r="M88" s="74">
        <f t="shared" si="15"/>
        <v>0.55866337138245126</v>
      </c>
      <c r="N88" s="74">
        <f t="shared" si="22"/>
        <v>0.61480532203389826</v>
      </c>
      <c r="O88" s="75">
        <f t="shared" si="16"/>
        <v>0.10049334452072606</v>
      </c>
      <c r="P88" s="71">
        <v>905.99999999999989</v>
      </c>
      <c r="Q88" s="71">
        <v>1615.7142857142858</v>
      </c>
      <c r="R88" s="81"/>
      <c r="S88" s="71"/>
      <c r="T88" s="71">
        <v>3348.8571428571431</v>
      </c>
      <c r="U88" s="71">
        <v>5167.7142857142853</v>
      </c>
      <c r="V88" s="71">
        <v>5444.8333333333339</v>
      </c>
      <c r="W88" s="71"/>
      <c r="X88" s="71">
        <v>9.8571428571428577</v>
      </c>
      <c r="Y88" s="71"/>
      <c r="Z88" s="71"/>
      <c r="AA88" s="71"/>
      <c r="AB88" s="71">
        <v>1166.8571428571429</v>
      </c>
      <c r="AC88" s="76">
        <f>IFERROR(AD88/E88,0)</f>
        <v>3296.1138911564626</v>
      </c>
      <c r="AD88" s="77">
        <f t="shared" si="17"/>
        <v>23072.797238095238</v>
      </c>
      <c r="AE88" s="48">
        <v>252</v>
      </c>
      <c r="AF88" s="78"/>
      <c r="AG88" s="50">
        <v>108</v>
      </c>
      <c r="AH88" s="79"/>
      <c r="AI88" s="50">
        <v>495</v>
      </c>
      <c r="AJ88" s="50">
        <v>743</v>
      </c>
      <c r="AK88" s="50">
        <f>300+475</f>
        <v>775</v>
      </c>
      <c r="AL88" s="76"/>
      <c r="AM88" s="72"/>
      <c r="AN88" s="52"/>
      <c r="AO88" s="50">
        <v>2.52</v>
      </c>
      <c r="AP88" s="76"/>
      <c r="AQ88" s="52">
        <v>150</v>
      </c>
      <c r="AR88" s="53">
        <f t="shared" si="18"/>
        <v>3627.3514</v>
      </c>
      <c r="AS88" s="54">
        <f>AR88*E88</f>
        <v>25391.459800000001</v>
      </c>
      <c r="AT88" s="43">
        <f t="shared" si="19"/>
        <v>331.2375088435374</v>
      </c>
      <c r="AU88" s="41">
        <f>IFERROR(AT88*E88,0)</f>
        <v>2318.6625619047618</v>
      </c>
      <c r="AV88" s="38" t="str">
        <f>D88</f>
        <v>M30</v>
      </c>
      <c r="AW88" s="38">
        <f>P88/E88</f>
        <v>129.42857142857142</v>
      </c>
      <c r="AX88" s="38">
        <f>Q88/E88</f>
        <v>230.81632653061226</v>
      </c>
      <c r="AY88" s="38">
        <f>R88/E88</f>
        <v>0</v>
      </c>
      <c r="AZ88" s="38">
        <f>S88/E88</f>
        <v>0</v>
      </c>
      <c r="BA88" s="38">
        <f>T88/E88</f>
        <v>478.40816326530614</v>
      </c>
      <c r="BB88" s="38">
        <f>U88/E88</f>
        <v>738.24489795918362</v>
      </c>
      <c r="BC88" s="38">
        <f>V88/E88</f>
        <v>777.83333333333337</v>
      </c>
      <c r="BD88" s="38"/>
      <c r="BE88" s="38">
        <f>X88/E88</f>
        <v>1.4081632653061225</v>
      </c>
      <c r="BF88" s="38">
        <f>Y88/E88</f>
        <v>0</v>
      </c>
      <c r="BG88" s="38">
        <f>AB88/E88</f>
        <v>166.69387755102042</v>
      </c>
      <c r="BH88" s="55">
        <f>Z88/E88</f>
        <v>0</v>
      </c>
      <c r="BI88" s="38"/>
      <c r="BJ88" s="38">
        <f t="shared" si="12"/>
        <v>2522.833333333333</v>
      </c>
    </row>
    <row r="89" spans="1:62" ht="18.75">
      <c r="A89" s="36">
        <v>45728</v>
      </c>
      <c r="B89" s="37" t="s">
        <v>90</v>
      </c>
      <c r="C89" s="72"/>
      <c r="D89" s="39" t="s">
        <v>43</v>
      </c>
      <c r="E89" s="66">
        <v>17.5</v>
      </c>
      <c r="F89" s="73"/>
      <c r="G89" s="37" t="s">
        <v>91</v>
      </c>
      <c r="H89" s="42">
        <v>6300</v>
      </c>
      <c r="I89" s="72">
        <f t="shared" si="14"/>
        <v>4185.3300000000008</v>
      </c>
      <c r="J89" s="74">
        <f t="shared" si="20"/>
        <v>3296.1138911564622</v>
      </c>
      <c r="K89" s="74">
        <f t="shared" si="21"/>
        <v>2114.6699999999992</v>
      </c>
      <c r="L89" s="74">
        <f t="shared" si="13"/>
        <v>3003.8861088435378</v>
      </c>
      <c r="M89" s="74">
        <f t="shared" si="15"/>
        <v>0.52319268113594641</v>
      </c>
      <c r="N89" s="74">
        <f t="shared" si="22"/>
        <v>0.66433809523809539</v>
      </c>
      <c r="O89" s="75">
        <f t="shared" si="16"/>
        <v>0.26977711881537914</v>
      </c>
      <c r="P89" s="71">
        <v>2265</v>
      </c>
      <c r="Q89" s="71">
        <v>4039.2857142857147</v>
      </c>
      <c r="R89" s="81"/>
      <c r="S89" s="71"/>
      <c r="T89" s="71">
        <v>8372.1428571428569</v>
      </c>
      <c r="U89" s="71">
        <v>12919.285714285714</v>
      </c>
      <c r="V89" s="71">
        <v>13612.083333333334</v>
      </c>
      <c r="W89" s="71"/>
      <c r="X89" s="71">
        <v>24.642857142857142</v>
      </c>
      <c r="Y89" s="71"/>
      <c r="Z89" s="71"/>
      <c r="AA89" s="71"/>
      <c r="AB89" s="71">
        <v>2917.1428571428573</v>
      </c>
      <c r="AC89" s="76">
        <f>IFERROR(AD89/E89,0)</f>
        <v>3296.1138911564622</v>
      </c>
      <c r="AD89" s="77">
        <f t="shared" si="17"/>
        <v>57681.993095238089</v>
      </c>
      <c r="AE89" s="48">
        <v>420</v>
      </c>
      <c r="AF89" s="78"/>
      <c r="AG89" s="50">
        <v>0</v>
      </c>
      <c r="AH89" s="79"/>
      <c r="AI89" s="50">
        <v>505</v>
      </c>
      <c r="AJ89" s="50">
        <v>760</v>
      </c>
      <c r="AK89" s="50">
        <f>365+300</f>
        <v>665</v>
      </c>
      <c r="AL89" s="76"/>
      <c r="AM89" s="72"/>
      <c r="AN89" s="52">
        <v>2.52</v>
      </c>
      <c r="AO89" s="50"/>
      <c r="AP89" s="76"/>
      <c r="AQ89" s="52">
        <v>170</v>
      </c>
      <c r="AR89" s="53">
        <f t="shared" si="18"/>
        <v>4185.3300000000008</v>
      </c>
      <c r="AS89" s="54">
        <f>AR89*E89</f>
        <v>73243.275000000009</v>
      </c>
      <c r="AT89" s="43">
        <f t="shared" si="19"/>
        <v>889.21610884353868</v>
      </c>
      <c r="AU89" s="41">
        <f>IFERROR(AT89*E89,0)</f>
        <v>15561.281904761927</v>
      </c>
      <c r="AV89" s="38" t="str">
        <f>D89</f>
        <v>M30</v>
      </c>
      <c r="AW89" s="38">
        <f>P89/E89</f>
        <v>129.42857142857142</v>
      </c>
      <c r="AX89" s="38">
        <f>Q89/E89</f>
        <v>230.81632653061226</v>
      </c>
      <c r="AY89" s="38">
        <f>R89/E89</f>
        <v>0</v>
      </c>
      <c r="AZ89" s="38">
        <f>S89/E89</f>
        <v>0</v>
      </c>
      <c r="BA89" s="38">
        <f>T89/E89</f>
        <v>478.40816326530609</v>
      </c>
      <c r="BB89" s="38">
        <f>U89/E89</f>
        <v>738.24489795918362</v>
      </c>
      <c r="BC89" s="38">
        <f>V89/E89</f>
        <v>777.83333333333337</v>
      </c>
      <c r="BD89" s="38"/>
      <c r="BE89" s="38">
        <f>X89/E89</f>
        <v>1.4081632653061225</v>
      </c>
      <c r="BF89" s="38">
        <f>Y89/E89</f>
        <v>0</v>
      </c>
      <c r="BG89" s="38">
        <f>AB89/E89</f>
        <v>166.69387755102042</v>
      </c>
      <c r="BH89" s="55">
        <f>Z89/E89</f>
        <v>0</v>
      </c>
      <c r="BI89" s="38"/>
      <c r="BJ89" s="38">
        <f t="shared" si="12"/>
        <v>2522.833333333333</v>
      </c>
    </row>
    <row r="90" spans="1:62" ht="18.75">
      <c r="A90" s="36">
        <v>45728</v>
      </c>
      <c r="B90" s="37" t="s">
        <v>90</v>
      </c>
      <c r="C90" s="72"/>
      <c r="D90" s="39" t="s">
        <v>43</v>
      </c>
      <c r="E90" s="66">
        <v>30</v>
      </c>
      <c r="F90" s="73"/>
      <c r="G90" s="37" t="s">
        <v>91</v>
      </c>
      <c r="H90" s="42">
        <v>6300</v>
      </c>
      <c r="I90" s="72">
        <f t="shared" si="14"/>
        <v>4185.3300000000008</v>
      </c>
      <c r="J90" s="74">
        <f t="shared" si="20"/>
        <v>3778.1663433333329</v>
      </c>
      <c r="K90" s="74">
        <f t="shared" si="21"/>
        <v>2114.6699999999992</v>
      </c>
      <c r="L90" s="74">
        <f t="shared" si="13"/>
        <v>2521.8336566666671</v>
      </c>
      <c r="M90" s="74">
        <f t="shared" si="15"/>
        <v>0.59970894338624336</v>
      </c>
      <c r="N90" s="74">
        <f t="shared" si="22"/>
        <v>0.66433809523809539</v>
      </c>
      <c r="O90" s="75">
        <f t="shared" si="16"/>
        <v>0.10776753050725731</v>
      </c>
      <c r="P90" s="71">
        <v>8653</v>
      </c>
      <c r="Q90" s="71">
        <v>3933</v>
      </c>
      <c r="R90" s="81"/>
      <c r="S90" s="71"/>
      <c r="T90" s="71">
        <v>14778</v>
      </c>
      <c r="U90" s="71">
        <v>22259</v>
      </c>
      <c r="V90" s="71">
        <v>20260</v>
      </c>
      <c r="W90" s="71"/>
      <c r="X90" s="71">
        <v>61.790000000000006</v>
      </c>
      <c r="Y90" s="71"/>
      <c r="Z90" s="71"/>
      <c r="AA90" s="71"/>
      <c r="AB90" s="71">
        <v>5631</v>
      </c>
      <c r="AC90" s="76">
        <f>IFERROR(AD90/E90,0)</f>
        <v>3778.1663433333329</v>
      </c>
      <c r="AD90" s="77">
        <f t="shared" si="17"/>
        <v>113344.99029999999</v>
      </c>
      <c r="AE90" s="48">
        <v>420</v>
      </c>
      <c r="AF90" s="78"/>
      <c r="AG90" s="50">
        <v>0</v>
      </c>
      <c r="AH90" s="79"/>
      <c r="AI90" s="50">
        <v>505</v>
      </c>
      <c r="AJ90" s="50">
        <v>760</v>
      </c>
      <c r="AK90" s="50">
        <f>365+300</f>
        <v>665</v>
      </c>
      <c r="AL90" s="76"/>
      <c r="AM90" s="72"/>
      <c r="AN90" s="52">
        <v>2.52</v>
      </c>
      <c r="AO90" s="50"/>
      <c r="AP90" s="76"/>
      <c r="AQ90" s="52">
        <v>170</v>
      </c>
      <c r="AR90" s="53">
        <f t="shared" si="18"/>
        <v>4185.3300000000008</v>
      </c>
      <c r="AS90" s="54">
        <f>AR90*E90</f>
        <v>125559.90000000002</v>
      </c>
      <c r="AT90" s="43">
        <f t="shared" si="19"/>
        <v>407.16365666666798</v>
      </c>
      <c r="AU90" s="41">
        <f>IFERROR(AT90*E90,0)</f>
        <v>12214.90970000004</v>
      </c>
      <c r="AV90" s="38" t="str">
        <f>D90</f>
        <v>M30</v>
      </c>
      <c r="AW90" s="38">
        <f>P90/E90</f>
        <v>288.43333333333334</v>
      </c>
      <c r="AX90" s="38">
        <f>Q90/E90</f>
        <v>131.1</v>
      </c>
      <c r="AY90" s="38">
        <f>R90/E90</f>
        <v>0</v>
      </c>
      <c r="AZ90" s="38">
        <f>S90/E90</f>
        <v>0</v>
      </c>
      <c r="BA90" s="38">
        <f>T90/E90</f>
        <v>492.6</v>
      </c>
      <c r="BB90" s="38">
        <f>U90/E90</f>
        <v>741.9666666666667</v>
      </c>
      <c r="BC90" s="38">
        <f>V90/E90</f>
        <v>675.33333333333337</v>
      </c>
      <c r="BD90" s="38"/>
      <c r="BE90" s="38">
        <f>X90/E90</f>
        <v>2.0596666666666668</v>
      </c>
      <c r="BF90" s="38">
        <f>Y90/E90</f>
        <v>0</v>
      </c>
      <c r="BG90" s="38">
        <f>AB90/E90</f>
        <v>187.7</v>
      </c>
      <c r="BH90" s="55">
        <f>Z90/E90</f>
        <v>0</v>
      </c>
      <c r="BI90" s="38"/>
      <c r="BJ90" s="38">
        <f t="shared" si="12"/>
        <v>2519.1929999999998</v>
      </c>
    </row>
    <row r="91" spans="1:62" ht="18.75">
      <c r="A91" s="36">
        <v>45728</v>
      </c>
      <c r="B91" s="37" t="s">
        <v>47</v>
      </c>
      <c r="C91" s="72"/>
      <c r="D91" s="39" t="s">
        <v>43</v>
      </c>
      <c r="E91" s="66">
        <v>6</v>
      </c>
      <c r="F91" s="73"/>
      <c r="G91" s="37" t="s">
        <v>78</v>
      </c>
      <c r="H91" s="42">
        <v>5700</v>
      </c>
      <c r="I91" s="72">
        <f t="shared" si="14"/>
        <v>3886.9700000000003</v>
      </c>
      <c r="J91" s="74">
        <f t="shared" si="20"/>
        <v>3454.3033</v>
      </c>
      <c r="K91" s="74">
        <f t="shared" si="21"/>
        <v>1813.0299999999997</v>
      </c>
      <c r="L91" s="74">
        <f t="shared" si="13"/>
        <v>2245.6967</v>
      </c>
      <c r="M91" s="74">
        <f t="shared" si="15"/>
        <v>0.6060181228070175</v>
      </c>
      <c r="N91" s="74">
        <f t="shared" si="22"/>
        <v>0.68192456140350877</v>
      </c>
      <c r="O91" s="75">
        <f t="shared" si="16"/>
        <v>0.1252544036882923</v>
      </c>
      <c r="P91" s="71">
        <v>1248</v>
      </c>
      <c r="Q91" s="71">
        <v>912</v>
      </c>
      <c r="R91" s="81"/>
      <c r="S91" s="81"/>
      <c r="T91" s="71">
        <v>2907</v>
      </c>
      <c r="U91" s="71">
        <v>4374</v>
      </c>
      <c r="V91" s="71">
        <v>4629</v>
      </c>
      <c r="W91" s="71"/>
      <c r="X91" s="71">
        <v>7.74</v>
      </c>
      <c r="Y91" s="71"/>
      <c r="Z91" s="71"/>
      <c r="AA91" s="71"/>
      <c r="AB91" s="71">
        <v>1062</v>
      </c>
      <c r="AC91" s="76">
        <f>IFERROR(AD91/E91,0)</f>
        <v>3454.3033</v>
      </c>
      <c r="AD91" s="77">
        <f t="shared" si="17"/>
        <v>20725.819800000001</v>
      </c>
      <c r="AE91" s="48">
        <v>320</v>
      </c>
      <c r="AF91" s="78"/>
      <c r="AG91" s="50">
        <v>80</v>
      </c>
      <c r="AH91" s="79"/>
      <c r="AI91" s="50">
        <v>515</v>
      </c>
      <c r="AJ91" s="50">
        <v>780</v>
      </c>
      <c r="AK91" s="50">
        <f>360+300</f>
        <v>660</v>
      </c>
      <c r="AL91" s="76"/>
      <c r="AM91" s="72"/>
      <c r="AN91" s="52">
        <v>2</v>
      </c>
      <c r="AO91" s="50"/>
      <c r="AP91" s="76"/>
      <c r="AQ91" s="52">
        <v>152</v>
      </c>
      <c r="AR91" s="53">
        <f t="shared" si="18"/>
        <v>3886.9700000000003</v>
      </c>
      <c r="AS91" s="54">
        <f>AR91*E91</f>
        <v>23321.82</v>
      </c>
      <c r="AT91" s="43">
        <f t="shared" si="19"/>
        <v>432.66670000000022</v>
      </c>
      <c r="AU91" s="41">
        <f>IFERROR(AT91*E91,0)</f>
        <v>2596.0002000000013</v>
      </c>
      <c r="AV91" s="38" t="str">
        <f>D91</f>
        <v>M30</v>
      </c>
      <c r="AW91" s="38">
        <f>P91/E91</f>
        <v>208</v>
      </c>
      <c r="AX91" s="38">
        <f>Q91/E91</f>
        <v>152</v>
      </c>
      <c r="AY91" s="38">
        <f>R91/E91</f>
        <v>0</v>
      </c>
      <c r="AZ91" s="38">
        <f>S91/E91</f>
        <v>0</v>
      </c>
      <c r="BA91" s="38">
        <f>T91/E91</f>
        <v>484.5</v>
      </c>
      <c r="BB91" s="38">
        <f>U91/E91</f>
        <v>729</v>
      </c>
      <c r="BC91" s="38">
        <f>V91/E91</f>
        <v>771.5</v>
      </c>
      <c r="BD91" s="38"/>
      <c r="BE91" s="38">
        <f>X91/E91</f>
        <v>1.29</v>
      </c>
      <c r="BF91" s="38">
        <f>Y91/E91</f>
        <v>0</v>
      </c>
      <c r="BG91" s="38">
        <f>AB91/E91</f>
        <v>177</v>
      </c>
      <c r="BH91" s="55">
        <f>Z91/E91</f>
        <v>0</v>
      </c>
      <c r="BI91" s="38"/>
      <c r="BJ91" s="38">
        <f t="shared" si="12"/>
        <v>2523.29</v>
      </c>
    </row>
    <row r="92" spans="1:62" ht="18.75">
      <c r="A92" s="36">
        <v>45728</v>
      </c>
      <c r="B92" s="65" t="s">
        <v>47</v>
      </c>
      <c r="C92" s="72"/>
      <c r="D92" s="39" t="s">
        <v>48</v>
      </c>
      <c r="E92" s="66">
        <v>9</v>
      </c>
      <c r="F92" s="73"/>
      <c r="G92" s="37" t="s">
        <v>49</v>
      </c>
      <c r="H92" s="42">
        <v>6600</v>
      </c>
      <c r="I92" s="72">
        <f t="shared" si="14"/>
        <v>4390.09</v>
      </c>
      <c r="J92" s="74">
        <f t="shared" si="20"/>
        <v>4265.110777777777</v>
      </c>
      <c r="K92" s="74">
        <f t="shared" si="21"/>
        <v>2209.91</v>
      </c>
      <c r="L92" s="74">
        <f t="shared" si="13"/>
        <v>2334.889222222223</v>
      </c>
      <c r="M92" s="74">
        <f t="shared" si="15"/>
        <v>0.64622890572390557</v>
      </c>
      <c r="N92" s="74">
        <f t="shared" si="22"/>
        <v>0.66516515151515154</v>
      </c>
      <c r="O92" s="75">
        <f t="shared" si="16"/>
        <v>2.9302690770283007E-2</v>
      </c>
      <c r="P92" s="71">
        <v>3407</v>
      </c>
      <c r="Q92" s="71">
        <v>1090</v>
      </c>
      <c r="R92" s="81"/>
      <c r="S92" s="81"/>
      <c r="T92" s="71">
        <v>4434</v>
      </c>
      <c r="U92" s="71">
        <v>6619</v>
      </c>
      <c r="V92" s="71">
        <v>5546</v>
      </c>
      <c r="W92" s="71"/>
      <c r="X92" s="71"/>
      <c r="Y92" s="71">
        <v>24.660000000000004</v>
      </c>
      <c r="Z92" s="71"/>
      <c r="AA92" s="71"/>
      <c r="AB92" s="71">
        <v>1472</v>
      </c>
      <c r="AC92" s="76">
        <f>IFERROR(AD92/E92,0)</f>
        <v>4265.110777777777</v>
      </c>
      <c r="AD92" s="77">
        <f t="shared" si="17"/>
        <v>38385.996999999996</v>
      </c>
      <c r="AE92" s="48">
        <v>400</v>
      </c>
      <c r="AF92" s="78"/>
      <c r="AG92" s="50">
        <v>100</v>
      </c>
      <c r="AH92" s="79"/>
      <c r="AI92" s="50">
        <v>510</v>
      </c>
      <c r="AJ92" s="50">
        <v>750</v>
      </c>
      <c r="AK92" s="50">
        <f>295+300</f>
        <v>595</v>
      </c>
      <c r="AL92" s="76"/>
      <c r="AM92" s="72"/>
      <c r="AN92" s="52">
        <v>3.5</v>
      </c>
      <c r="AO92" s="50"/>
      <c r="AP92" s="76"/>
      <c r="AQ92" s="52">
        <v>150</v>
      </c>
      <c r="AR92" s="53">
        <f t="shared" si="18"/>
        <v>4390.09</v>
      </c>
      <c r="AS92" s="54">
        <f>AR92*E92</f>
        <v>39510.81</v>
      </c>
      <c r="AT92" s="43">
        <f t="shared" si="19"/>
        <v>124.97922222222314</v>
      </c>
      <c r="AU92" s="41">
        <f>IFERROR(AT92*E92,0)</f>
        <v>1124.8130000000083</v>
      </c>
      <c r="AV92" s="38" t="str">
        <f>D92</f>
        <v>M50</v>
      </c>
      <c r="AW92" s="38">
        <f>P92/E92</f>
        <v>378.55555555555554</v>
      </c>
      <c r="AX92" s="38">
        <f>Q92/E92</f>
        <v>121.11111111111111</v>
      </c>
      <c r="AY92" s="38">
        <f>R92/E92</f>
        <v>0</v>
      </c>
      <c r="AZ92" s="38">
        <f>S92/E92</f>
        <v>0</v>
      </c>
      <c r="BA92" s="38">
        <f>T92/E92</f>
        <v>492.66666666666669</v>
      </c>
      <c r="BB92" s="38">
        <f>U92/E92</f>
        <v>735.44444444444446</v>
      </c>
      <c r="BC92" s="38">
        <f>V92/E92</f>
        <v>616.22222222222217</v>
      </c>
      <c r="BD92" s="38"/>
      <c r="BE92" s="38">
        <f>X92/E92</f>
        <v>0</v>
      </c>
      <c r="BF92" s="38">
        <f>Y92/E92</f>
        <v>2.74</v>
      </c>
      <c r="BG92" s="38">
        <f>AB92/E92</f>
        <v>163.55555555555554</v>
      </c>
      <c r="BH92" s="55">
        <f>Z92/E92</f>
        <v>0</v>
      </c>
      <c r="BI92" s="38"/>
      <c r="BJ92" s="38">
        <f t="shared" si="12"/>
        <v>2510.2955555555554</v>
      </c>
    </row>
    <row r="93" spans="1:62" ht="18.75">
      <c r="A93" s="36">
        <v>45729</v>
      </c>
      <c r="B93" s="65" t="s">
        <v>81</v>
      </c>
      <c r="C93" s="72"/>
      <c r="D93" s="39" t="s">
        <v>34</v>
      </c>
      <c r="E93" s="66">
        <v>13</v>
      </c>
      <c r="F93" s="73"/>
      <c r="G93" s="37" t="s">
        <v>82</v>
      </c>
      <c r="H93" s="42">
        <v>5100</v>
      </c>
      <c r="I93" s="72">
        <f t="shared" si="14"/>
        <v>3256.6862000000001</v>
      </c>
      <c r="J93" s="74">
        <f t="shared" si="20"/>
        <v>2869.6896999999999</v>
      </c>
      <c r="K93" s="74">
        <f t="shared" si="21"/>
        <v>1843.3137999999999</v>
      </c>
      <c r="L93" s="74">
        <f t="shared" si="13"/>
        <v>2230.3103000000001</v>
      </c>
      <c r="M93" s="74">
        <f t="shared" si="15"/>
        <v>0.56268425490196072</v>
      </c>
      <c r="N93" s="74">
        <f t="shared" si="22"/>
        <v>0.63856592156862746</v>
      </c>
      <c r="O93" s="75">
        <f t="shared" si="16"/>
        <v>0.13485656654794434</v>
      </c>
      <c r="P93" s="71">
        <v>1301</v>
      </c>
      <c r="Q93" s="71">
        <v>1570</v>
      </c>
      <c r="R93" s="81"/>
      <c r="S93" s="81"/>
      <c r="T93" s="71">
        <v>6216</v>
      </c>
      <c r="U93" s="71">
        <v>9100</v>
      </c>
      <c r="V93" s="71">
        <f>5969+5869</f>
        <v>11838</v>
      </c>
      <c r="W93" s="71"/>
      <c r="X93" s="71">
        <v>11.73</v>
      </c>
      <c r="Y93" s="71"/>
      <c r="Z93" s="71"/>
      <c r="AA93" s="71"/>
      <c r="AB93" s="71">
        <v>2181</v>
      </c>
      <c r="AC93" s="76">
        <f>IFERROR(AD93/E93,0)</f>
        <v>2869.6896999999999</v>
      </c>
      <c r="AD93" s="77">
        <f t="shared" si="17"/>
        <v>37305.966099999998</v>
      </c>
      <c r="AE93" s="48">
        <v>196</v>
      </c>
      <c r="AF93" s="78"/>
      <c r="AG93" s="50">
        <v>84</v>
      </c>
      <c r="AH93" s="79"/>
      <c r="AI93" s="50">
        <v>480</v>
      </c>
      <c r="AJ93" s="50">
        <v>715</v>
      </c>
      <c r="AK93" s="50">
        <f>440+400</f>
        <v>840</v>
      </c>
      <c r="AL93" s="76"/>
      <c r="AM93" s="72"/>
      <c r="AN93" s="52"/>
      <c r="AO93" s="50">
        <v>1.96</v>
      </c>
      <c r="AP93" s="76"/>
      <c r="AQ93" s="52">
        <v>160</v>
      </c>
      <c r="AR93" s="53">
        <f t="shared" si="18"/>
        <v>3256.6862000000001</v>
      </c>
      <c r="AS93" s="54">
        <f>AR93*E93</f>
        <v>42336.920599999998</v>
      </c>
      <c r="AT93" s="43">
        <f t="shared" si="19"/>
        <v>386.9965000000002</v>
      </c>
      <c r="AU93" s="41">
        <f>IFERROR(AT93*E93,0)</f>
        <v>5030.9545000000026</v>
      </c>
      <c r="AV93" s="38" t="str">
        <f>D93</f>
        <v>M15</v>
      </c>
      <c r="AW93" s="38">
        <f>P93/E93</f>
        <v>100.07692307692308</v>
      </c>
      <c r="AX93" s="38">
        <f>Q93/E93</f>
        <v>120.76923076923077</v>
      </c>
      <c r="AY93" s="38">
        <f>R93/E93</f>
        <v>0</v>
      </c>
      <c r="AZ93" s="38">
        <f>S93/E93</f>
        <v>0</v>
      </c>
      <c r="BA93" s="38">
        <f>T93/E93</f>
        <v>478.15384615384613</v>
      </c>
      <c r="BB93" s="38">
        <f>U93/E93</f>
        <v>700</v>
      </c>
      <c r="BC93" s="38">
        <f>V93/E93</f>
        <v>910.61538461538464</v>
      </c>
      <c r="BD93" s="38"/>
      <c r="BE93" s="38">
        <f>X93/E93</f>
        <v>0.90230769230769237</v>
      </c>
      <c r="BF93" s="38">
        <f>Y93/E93</f>
        <v>0</v>
      </c>
      <c r="BG93" s="38">
        <f>AB93/E93</f>
        <v>167.76923076923077</v>
      </c>
      <c r="BH93" s="55">
        <f>Z93/E93</f>
        <v>0</v>
      </c>
      <c r="BI93" s="38"/>
      <c r="BJ93" s="38">
        <f t="shared" si="12"/>
        <v>2478.2869230769234</v>
      </c>
    </row>
    <row r="94" spans="1:62" ht="18.75">
      <c r="A94" s="36">
        <v>45729</v>
      </c>
      <c r="B94" s="37" t="s">
        <v>60</v>
      </c>
      <c r="C94" s="72"/>
      <c r="D94" s="39" t="s">
        <v>37</v>
      </c>
      <c r="E94" s="66">
        <v>30.5</v>
      </c>
      <c r="F94" s="73"/>
      <c r="G94" s="37" t="s">
        <v>38</v>
      </c>
      <c r="H94" s="42">
        <v>5900</v>
      </c>
      <c r="I94" s="72">
        <f t="shared" si="14"/>
        <v>3372.9120000000003</v>
      </c>
      <c r="J94" s="74">
        <f t="shared" si="20"/>
        <v>3256.9443016393443</v>
      </c>
      <c r="K94" s="74">
        <f t="shared" si="21"/>
        <v>2527.0879999999997</v>
      </c>
      <c r="L94" s="74">
        <f t="shared" si="13"/>
        <v>2643.0556983606557</v>
      </c>
      <c r="M94" s="74">
        <f t="shared" si="15"/>
        <v>0.55202445790497356</v>
      </c>
      <c r="N94" s="74">
        <f t="shared" si="22"/>
        <v>0.57168000000000008</v>
      </c>
      <c r="O94" s="75">
        <f t="shared" si="16"/>
        <v>3.5606288477910253E-2</v>
      </c>
      <c r="P94" s="71">
        <v>5479</v>
      </c>
      <c r="Q94" s="71">
        <v>3689</v>
      </c>
      <c r="R94" s="81"/>
      <c r="S94" s="81"/>
      <c r="T94" s="71">
        <v>14293</v>
      </c>
      <c r="U94" s="71">
        <v>21169</v>
      </c>
      <c r="V94" s="71">
        <f>13275+13475</f>
        <v>26750</v>
      </c>
      <c r="W94" s="71"/>
      <c r="X94" s="71">
        <v>36.56</v>
      </c>
      <c r="Y94" s="71"/>
      <c r="Z94" s="71"/>
      <c r="AA94" s="71"/>
      <c r="AB94" s="71">
        <v>5443</v>
      </c>
      <c r="AC94" s="76">
        <f>IFERROR(AD94/E94,0)</f>
        <v>3256.9443016393443</v>
      </c>
      <c r="AD94" s="77">
        <f t="shared" si="17"/>
        <v>99336.801200000002</v>
      </c>
      <c r="AE94" s="50">
        <v>210</v>
      </c>
      <c r="AF94" s="78"/>
      <c r="AG94" s="50">
        <v>90</v>
      </c>
      <c r="AH94" s="79"/>
      <c r="AI94" s="50">
        <v>490</v>
      </c>
      <c r="AJ94" s="50">
        <v>735</v>
      </c>
      <c r="AK94" s="50">
        <f>430+400</f>
        <v>830</v>
      </c>
      <c r="AL94" s="76"/>
      <c r="AM94" s="72"/>
      <c r="AN94" s="52"/>
      <c r="AO94" s="50">
        <v>2.1</v>
      </c>
      <c r="AP94" s="76"/>
      <c r="AQ94" s="52">
        <v>159</v>
      </c>
      <c r="AR94" s="53">
        <f t="shared" si="18"/>
        <v>3372.9120000000003</v>
      </c>
      <c r="AS94" s="54">
        <f>AR94*E94</f>
        <v>102873.81600000001</v>
      </c>
      <c r="AT94" s="43">
        <f t="shared" si="19"/>
        <v>115.96769836065596</v>
      </c>
      <c r="AU94" s="41">
        <f>IFERROR(AT94*E94,0)</f>
        <v>3537.0148000000067</v>
      </c>
      <c r="AV94" s="38" t="str">
        <f>D94</f>
        <v>M20</v>
      </c>
      <c r="AW94" s="38">
        <f>P94/E94</f>
        <v>179.63934426229508</v>
      </c>
      <c r="AX94" s="38">
        <f>Q94/E94</f>
        <v>120.95081967213115</v>
      </c>
      <c r="AY94" s="38">
        <f>R94/E94</f>
        <v>0</v>
      </c>
      <c r="AZ94" s="38">
        <f>S94/E94</f>
        <v>0</v>
      </c>
      <c r="BA94" s="38">
        <f>T94/E94</f>
        <v>468.62295081967216</v>
      </c>
      <c r="BB94" s="38">
        <f>U94/E94</f>
        <v>694.06557377049182</v>
      </c>
      <c r="BC94" s="38">
        <f>V94/E94</f>
        <v>877.04918032786884</v>
      </c>
      <c r="BD94" s="38"/>
      <c r="BE94" s="38">
        <f>X94/E94</f>
        <v>1.198688524590164</v>
      </c>
      <c r="BF94" s="38">
        <f>Y94/E94</f>
        <v>0</v>
      </c>
      <c r="BG94" s="38">
        <f>AB94/E94</f>
        <v>178.45901639344262</v>
      </c>
      <c r="BH94" s="55">
        <f>Z94/E94</f>
        <v>0</v>
      </c>
      <c r="BI94" s="38"/>
      <c r="BJ94" s="38">
        <f t="shared" si="12"/>
        <v>2519.9855737704916</v>
      </c>
    </row>
    <row r="95" spans="1:62" ht="18.75">
      <c r="A95" s="36">
        <v>45729</v>
      </c>
      <c r="B95" s="37" t="s">
        <v>60</v>
      </c>
      <c r="C95" s="72"/>
      <c r="D95" s="39" t="s">
        <v>37</v>
      </c>
      <c r="E95" s="66">
        <v>95.5</v>
      </c>
      <c r="F95" s="73"/>
      <c r="G95" s="37" t="s">
        <v>38</v>
      </c>
      <c r="H95" s="42">
        <v>5900</v>
      </c>
      <c r="I95" s="72">
        <f t="shared" si="14"/>
        <v>3372.9120000000003</v>
      </c>
      <c r="J95" s="74">
        <f t="shared" si="20"/>
        <v>3051.6564942408377</v>
      </c>
      <c r="K95" s="74">
        <f t="shared" si="21"/>
        <v>2527.0879999999997</v>
      </c>
      <c r="L95" s="74">
        <f t="shared" si="13"/>
        <v>2848.3435057591623</v>
      </c>
      <c r="M95" s="74">
        <f t="shared" si="15"/>
        <v>0.51722991427810805</v>
      </c>
      <c r="N95" s="74">
        <f t="shared" si="22"/>
        <v>0.57168000000000008</v>
      </c>
      <c r="O95" s="75">
        <f t="shared" si="16"/>
        <v>0.10527249917067809</v>
      </c>
      <c r="P95" s="71">
        <v>12358</v>
      </c>
      <c r="Q95" s="71">
        <v>12491</v>
      </c>
      <c r="R95" s="71">
        <v>0</v>
      </c>
      <c r="S95" s="71">
        <v>0</v>
      </c>
      <c r="T95" s="71">
        <v>45710</v>
      </c>
      <c r="U95" s="71">
        <v>67875</v>
      </c>
      <c r="V95" s="71">
        <f>42843+41790</f>
        <v>84633</v>
      </c>
      <c r="W95" s="71"/>
      <c r="X95" s="71">
        <v>104.36</v>
      </c>
      <c r="Y95" s="71"/>
      <c r="Z95" s="71"/>
      <c r="AA95" s="71"/>
      <c r="AB95" s="71">
        <v>17075</v>
      </c>
      <c r="AC95" s="76">
        <f>IFERROR(AD95/E95,0)</f>
        <v>3051.6564942408377</v>
      </c>
      <c r="AD95" s="77">
        <f t="shared" si="17"/>
        <v>291433.19520000002</v>
      </c>
      <c r="AE95" s="50">
        <v>210</v>
      </c>
      <c r="AF95" s="78"/>
      <c r="AG95" s="50">
        <v>90</v>
      </c>
      <c r="AH95" s="79"/>
      <c r="AI95" s="50">
        <v>490</v>
      </c>
      <c r="AJ95" s="50">
        <v>735</v>
      </c>
      <c r="AK95" s="50">
        <f>430+400</f>
        <v>830</v>
      </c>
      <c r="AL95" s="76"/>
      <c r="AM95" s="72"/>
      <c r="AN95" s="52"/>
      <c r="AO95" s="50">
        <v>2.1</v>
      </c>
      <c r="AP95" s="76"/>
      <c r="AQ95" s="52">
        <v>159</v>
      </c>
      <c r="AR95" s="53">
        <f t="shared" si="18"/>
        <v>3372.9120000000003</v>
      </c>
      <c r="AS95" s="54">
        <f>AR95*E95</f>
        <v>322113.09600000002</v>
      </c>
      <c r="AT95" s="43">
        <f t="shared" si="19"/>
        <v>321.25550575916259</v>
      </c>
      <c r="AU95" s="41">
        <f>IFERROR(AT95*E95,0)</f>
        <v>30679.900800000029</v>
      </c>
      <c r="AV95" s="38" t="str">
        <f>D95</f>
        <v>M20</v>
      </c>
      <c r="AW95" s="38">
        <f>P95/E95</f>
        <v>129.40314136125656</v>
      </c>
      <c r="AX95" s="38">
        <f>Q95/E95</f>
        <v>130.7958115183246</v>
      </c>
      <c r="AY95" s="38">
        <f>R95/E95</f>
        <v>0</v>
      </c>
      <c r="AZ95" s="38">
        <f>S95/E95</f>
        <v>0</v>
      </c>
      <c r="BA95" s="38">
        <f>T95/E95</f>
        <v>478.63874345549738</v>
      </c>
      <c r="BB95" s="38">
        <f>U95/E95</f>
        <v>710.73298429319368</v>
      </c>
      <c r="BC95" s="38">
        <f>V95/E95</f>
        <v>886.20942408376959</v>
      </c>
      <c r="BD95" s="38"/>
      <c r="BE95" s="38">
        <f>X95/E95</f>
        <v>1.0927748691099477</v>
      </c>
      <c r="BF95" s="38">
        <f>Y95/E95</f>
        <v>0</v>
      </c>
      <c r="BG95" s="38">
        <f>AB95/E95</f>
        <v>178.7958115183246</v>
      </c>
      <c r="BH95" s="55">
        <f>Z95/E95</f>
        <v>0</v>
      </c>
      <c r="BI95" s="38"/>
      <c r="BJ95" s="38">
        <f t="shared" si="12"/>
        <v>2515.6686910994767</v>
      </c>
    </row>
    <row r="96" spans="1:62" ht="18.75">
      <c r="A96" s="36">
        <v>45729</v>
      </c>
      <c r="B96" s="37" t="s">
        <v>87</v>
      </c>
      <c r="C96" s="72"/>
      <c r="D96" s="39" t="s">
        <v>40</v>
      </c>
      <c r="E96" s="40">
        <v>6</v>
      </c>
      <c r="F96" s="73"/>
      <c r="G96" s="37" t="s">
        <v>41</v>
      </c>
      <c r="H96" s="42">
        <v>5600</v>
      </c>
      <c r="I96" s="72">
        <f t="shared" si="14"/>
        <v>3452.0828000000001</v>
      </c>
      <c r="J96" s="74">
        <f t="shared" si="20"/>
        <v>3441.0392666666667</v>
      </c>
      <c r="K96" s="74">
        <f t="shared" si="21"/>
        <v>2147.9171999999999</v>
      </c>
      <c r="L96" s="74">
        <f t="shared" si="13"/>
        <v>2158.9607333333333</v>
      </c>
      <c r="M96" s="74">
        <f t="shared" si="15"/>
        <v>0.61447129761904762</v>
      </c>
      <c r="N96" s="74">
        <f t="shared" si="22"/>
        <v>0.61644335714285714</v>
      </c>
      <c r="O96" s="75">
        <f t="shared" si="16"/>
        <v>3.2093598699416146E-3</v>
      </c>
      <c r="P96" s="71">
        <v>1375</v>
      </c>
      <c r="Q96" s="71">
        <v>604</v>
      </c>
      <c r="R96" s="81"/>
      <c r="S96" s="81"/>
      <c r="T96" s="71">
        <v>2988</v>
      </c>
      <c r="U96" s="71">
        <v>4488</v>
      </c>
      <c r="V96" s="71">
        <f>2285+2236</f>
        <v>4521</v>
      </c>
      <c r="W96" s="71"/>
      <c r="X96" s="71">
        <v>10.48</v>
      </c>
      <c r="Y96" s="71"/>
      <c r="Z96" s="71"/>
      <c r="AA96" s="71"/>
      <c r="AB96" s="71">
        <v>1039</v>
      </c>
      <c r="AC96" s="76">
        <f>IFERROR(AD96/E96,0)</f>
        <v>3441.0392666666667</v>
      </c>
      <c r="AD96" s="77">
        <f t="shared" si="17"/>
        <v>20646.2356</v>
      </c>
      <c r="AE96" s="48">
        <v>224</v>
      </c>
      <c r="AF96" s="78"/>
      <c r="AG96" s="50">
        <v>96</v>
      </c>
      <c r="AH96" s="79"/>
      <c r="AI96" s="50">
        <v>495</v>
      </c>
      <c r="AJ96" s="50">
        <v>740</v>
      </c>
      <c r="AK96" s="50">
        <v>800</v>
      </c>
      <c r="AL96" s="76"/>
      <c r="AM96" s="72"/>
      <c r="AN96" s="52"/>
      <c r="AO96" s="50">
        <v>2.2400000000000002</v>
      </c>
      <c r="AP96" s="76"/>
      <c r="AQ96" s="52">
        <v>155</v>
      </c>
      <c r="AR96" s="53">
        <f t="shared" si="18"/>
        <v>3452.0828000000001</v>
      </c>
      <c r="AS96" s="54">
        <f>AR96*E96</f>
        <v>20712.496800000001</v>
      </c>
      <c r="AT96" s="43">
        <f t="shared" si="19"/>
        <v>11.043533333333471</v>
      </c>
      <c r="AU96" s="41">
        <f>IFERROR(AT96*E96,0)</f>
        <v>66.261200000000827</v>
      </c>
      <c r="AV96" s="38" t="str">
        <f>D96</f>
        <v>M25</v>
      </c>
      <c r="AW96" s="38">
        <f>P96/E96</f>
        <v>229.16666666666666</v>
      </c>
      <c r="AX96" s="38">
        <f>Q96/E96</f>
        <v>100.66666666666667</v>
      </c>
      <c r="AY96" s="38">
        <f>R96/E96</f>
        <v>0</v>
      </c>
      <c r="AZ96" s="38">
        <f>S96/E96</f>
        <v>0</v>
      </c>
      <c r="BA96" s="38">
        <f>T96/E96</f>
        <v>498</v>
      </c>
      <c r="BB96" s="38">
        <f>U96/E96</f>
        <v>748</v>
      </c>
      <c r="BC96" s="38">
        <f>V96/E96</f>
        <v>753.5</v>
      </c>
      <c r="BD96" s="38"/>
      <c r="BE96" s="38">
        <f>X96/E96</f>
        <v>1.7466666666666668</v>
      </c>
      <c r="BF96" s="38">
        <f>Y96/E96</f>
        <v>0</v>
      </c>
      <c r="BG96" s="38">
        <f>AB96/E96</f>
        <v>173.16666666666666</v>
      </c>
      <c r="BH96" s="55">
        <f>Z96/E96</f>
        <v>0</v>
      </c>
      <c r="BI96" s="38"/>
      <c r="BJ96" s="38">
        <f t="shared" si="12"/>
        <v>2504.246666666666</v>
      </c>
    </row>
    <row r="97" spans="1:62" ht="18.75">
      <c r="A97" s="36">
        <v>45729</v>
      </c>
      <c r="B97" s="37" t="s">
        <v>87</v>
      </c>
      <c r="C97" s="72"/>
      <c r="D97" s="39" t="s">
        <v>40</v>
      </c>
      <c r="E97" s="40">
        <v>38.5</v>
      </c>
      <c r="F97" s="73"/>
      <c r="G97" s="37" t="s">
        <v>41</v>
      </c>
      <c r="H97" s="42">
        <v>5600</v>
      </c>
      <c r="I97" s="72">
        <f t="shared" si="14"/>
        <v>3452.0828000000001</v>
      </c>
      <c r="J97" s="74">
        <f t="shared" si="20"/>
        <v>3324.0515272727271</v>
      </c>
      <c r="K97" s="74">
        <f t="shared" si="21"/>
        <v>2147.9171999999999</v>
      </c>
      <c r="L97" s="74">
        <f t="shared" si="13"/>
        <v>2275.9484727272729</v>
      </c>
      <c r="M97" s="74">
        <f t="shared" si="15"/>
        <v>0.59358062987012983</v>
      </c>
      <c r="N97" s="74">
        <f t="shared" si="22"/>
        <v>0.61644335714285714</v>
      </c>
      <c r="O97" s="75">
        <f t="shared" si="16"/>
        <v>3.8516632993447701E-2</v>
      </c>
      <c r="P97" s="71">
        <f>7474+182</f>
        <v>7656</v>
      </c>
      <c r="Q97" s="71">
        <v>4655</v>
      </c>
      <c r="R97" s="81"/>
      <c r="S97" s="81"/>
      <c r="T97" s="71">
        <v>18752</v>
      </c>
      <c r="U97" s="71">
        <v>28146</v>
      </c>
      <c r="V97" s="71">
        <f>14970+15076</f>
        <v>30046</v>
      </c>
      <c r="W97" s="71"/>
      <c r="X97" s="71">
        <v>49.84</v>
      </c>
      <c r="Y97" s="71"/>
      <c r="Z97" s="71"/>
      <c r="AA97" s="71"/>
      <c r="AB97" s="71">
        <v>6944</v>
      </c>
      <c r="AC97" s="76">
        <f>IFERROR(AD97/E97,0)</f>
        <v>3324.0515272727271</v>
      </c>
      <c r="AD97" s="77">
        <f t="shared" si="17"/>
        <v>127975.98379999999</v>
      </c>
      <c r="AE97" s="48">
        <v>224</v>
      </c>
      <c r="AF97" s="78"/>
      <c r="AG97" s="50">
        <v>96</v>
      </c>
      <c r="AH97" s="79"/>
      <c r="AI97" s="50">
        <v>495</v>
      </c>
      <c r="AJ97" s="50">
        <v>740</v>
      </c>
      <c r="AK97" s="50">
        <v>800</v>
      </c>
      <c r="AL97" s="76"/>
      <c r="AM97" s="72"/>
      <c r="AN97" s="52"/>
      <c r="AO97" s="50">
        <v>2.2400000000000002</v>
      </c>
      <c r="AP97" s="76"/>
      <c r="AQ97" s="52">
        <v>155</v>
      </c>
      <c r="AR97" s="53">
        <f t="shared" si="18"/>
        <v>3452.0828000000001</v>
      </c>
      <c r="AS97" s="54">
        <f>AR97*E97</f>
        <v>132905.18780000001</v>
      </c>
      <c r="AT97" s="43">
        <f t="shared" si="19"/>
        <v>128.03127272727306</v>
      </c>
      <c r="AU97" s="41">
        <f>IFERROR(AT97*E97,0)</f>
        <v>4929.2040000000125</v>
      </c>
      <c r="AV97" s="38" t="str">
        <f>D97</f>
        <v>M25</v>
      </c>
      <c r="AW97" s="38">
        <f>P97/E97</f>
        <v>198.85714285714286</v>
      </c>
      <c r="AX97" s="38">
        <f>Q97/E97</f>
        <v>120.90909090909091</v>
      </c>
      <c r="AY97" s="38">
        <f>R97/E97</f>
        <v>0</v>
      </c>
      <c r="AZ97" s="38">
        <f>S97/E97</f>
        <v>0</v>
      </c>
      <c r="BA97" s="38">
        <f>T97/E97</f>
        <v>487.06493506493507</v>
      </c>
      <c r="BB97" s="38">
        <f>U97/E97</f>
        <v>731.06493506493507</v>
      </c>
      <c r="BC97" s="38">
        <f>V97/E97</f>
        <v>780.41558441558436</v>
      </c>
      <c r="BD97" s="38"/>
      <c r="BE97" s="38">
        <f>X97/E97</f>
        <v>1.2945454545454547</v>
      </c>
      <c r="BF97" s="38">
        <f>Y97/E97</f>
        <v>0</v>
      </c>
      <c r="BG97" s="38">
        <f>AB97/E97</f>
        <v>180.36363636363637</v>
      </c>
      <c r="BH97" s="55">
        <f>Z97/E97</f>
        <v>0</v>
      </c>
      <c r="BI97" s="38"/>
      <c r="BJ97" s="38">
        <f t="shared" si="12"/>
        <v>2499.9698701298703</v>
      </c>
    </row>
    <row r="98" spans="1:62" ht="18.75">
      <c r="A98" s="36">
        <v>45729</v>
      </c>
      <c r="B98" s="37" t="s">
        <v>92</v>
      </c>
      <c r="C98" s="72"/>
      <c r="D98" s="39" t="s">
        <v>43</v>
      </c>
      <c r="E98" s="66">
        <v>23</v>
      </c>
      <c r="F98" s="73"/>
      <c r="G98" s="37" t="s">
        <v>59</v>
      </c>
      <c r="H98" s="42">
        <v>5900</v>
      </c>
      <c r="I98" s="72">
        <f t="shared" si="14"/>
        <v>3788.3029999999999</v>
      </c>
      <c r="J98" s="74">
        <f t="shared" si="20"/>
        <v>3547.3869739130441</v>
      </c>
      <c r="K98" s="74">
        <f t="shared" si="21"/>
        <v>2111.6970000000001</v>
      </c>
      <c r="L98" s="74">
        <f t="shared" si="13"/>
        <v>2352.6130260869559</v>
      </c>
      <c r="M98" s="74">
        <f t="shared" si="15"/>
        <v>0.60125202947678713</v>
      </c>
      <c r="N98" s="74">
        <f t="shared" si="22"/>
        <v>0.64208525423728813</v>
      </c>
      <c r="O98" s="75">
        <f t="shared" si="16"/>
        <v>6.7913658097810164E-2</v>
      </c>
      <c r="P98" s="71">
        <f>4071+1667</f>
        <v>5738</v>
      </c>
      <c r="Q98" s="71">
        <v>2547</v>
      </c>
      <c r="R98" s="81"/>
      <c r="S98" s="81"/>
      <c r="T98" s="71">
        <v>11399</v>
      </c>
      <c r="U98" s="71">
        <v>16965</v>
      </c>
      <c r="V98" s="71">
        <f>8545+8276</f>
        <v>16821</v>
      </c>
      <c r="W98" s="71"/>
      <c r="X98" s="71">
        <v>39.92</v>
      </c>
      <c r="Y98" s="71"/>
      <c r="Z98" s="71"/>
      <c r="AA98" s="71"/>
      <c r="AB98" s="71">
        <v>4318</v>
      </c>
      <c r="AC98" s="76">
        <f>IFERROR(AD98/E98,0)</f>
        <v>3547.3869739130441</v>
      </c>
      <c r="AD98" s="77">
        <f t="shared" si="17"/>
        <v>81589.900400000013</v>
      </c>
      <c r="AE98" s="48">
        <v>288</v>
      </c>
      <c r="AF98" s="78"/>
      <c r="AG98" s="50">
        <v>72</v>
      </c>
      <c r="AH98" s="79"/>
      <c r="AI98" s="50">
        <v>495</v>
      </c>
      <c r="AJ98" s="50">
        <v>743</v>
      </c>
      <c r="AK98" s="50">
        <v>775</v>
      </c>
      <c r="AL98" s="76"/>
      <c r="AM98" s="72"/>
      <c r="AN98" s="52">
        <v>2.52</v>
      </c>
      <c r="AO98" s="50"/>
      <c r="AP98" s="76"/>
      <c r="AQ98" s="52">
        <v>160</v>
      </c>
      <c r="AR98" s="53">
        <f t="shared" si="18"/>
        <v>3788.3029999999999</v>
      </c>
      <c r="AS98" s="54">
        <f>AR98*E98</f>
        <v>87130.968999999997</v>
      </c>
      <c r="AT98" s="43">
        <f t="shared" si="19"/>
        <v>240.91602608695575</v>
      </c>
      <c r="AU98" s="41">
        <f>IFERROR(AT98*E98,0)</f>
        <v>5541.0685999999823</v>
      </c>
      <c r="AV98" s="38" t="str">
        <f>D98</f>
        <v>M30</v>
      </c>
      <c r="AW98" s="38">
        <f>P98/E98</f>
        <v>249.47826086956522</v>
      </c>
      <c r="AX98" s="38">
        <f>Q98/E98</f>
        <v>110.73913043478261</v>
      </c>
      <c r="AY98" s="38">
        <f>R98/E98</f>
        <v>0</v>
      </c>
      <c r="AZ98" s="38">
        <f>S98/E98</f>
        <v>0</v>
      </c>
      <c r="BA98" s="38">
        <f>T98/E98</f>
        <v>495.60869565217394</v>
      </c>
      <c r="BB98" s="38">
        <f>U98/E98</f>
        <v>737.60869565217388</v>
      </c>
      <c r="BC98" s="38">
        <f>V98/E98</f>
        <v>731.3478260869565</v>
      </c>
      <c r="BD98" s="38"/>
      <c r="BE98" s="38">
        <f>X98/E98</f>
        <v>1.7356521739130435</v>
      </c>
      <c r="BF98" s="38">
        <f>Y98/E98</f>
        <v>0</v>
      </c>
      <c r="BG98" s="38">
        <f>AB98/E98</f>
        <v>187.7391304347826</v>
      </c>
      <c r="BH98" s="55">
        <f>Z98/E98</f>
        <v>0</v>
      </c>
      <c r="BI98" s="38"/>
      <c r="BJ98" s="38">
        <f t="shared" si="12"/>
        <v>2514.2573913043475</v>
      </c>
    </row>
    <row r="99" spans="1:62" ht="18.75">
      <c r="A99" s="36">
        <v>45729</v>
      </c>
      <c r="B99" s="37" t="s">
        <v>90</v>
      </c>
      <c r="C99" s="72"/>
      <c r="D99" s="39" t="s">
        <v>43</v>
      </c>
      <c r="E99" s="66">
        <v>2.5</v>
      </c>
      <c r="F99" s="73"/>
      <c r="G99" s="37" t="s">
        <v>91</v>
      </c>
      <c r="H99" s="42">
        <v>6300</v>
      </c>
      <c r="I99" s="72">
        <f t="shared" si="14"/>
        <v>4185.3300000000008</v>
      </c>
      <c r="J99" s="74">
        <f t="shared" si="20"/>
        <v>3759.66608</v>
      </c>
      <c r="K99" s="74">
        <f t="shared" si="21"/>
        <v>2114.6699999999992</v>
      </c>
      <c r="L99" s="74">
        <f t="shared" si="13"/>
        <v>2540.33392</v>
      </c>
      <c r="M99" s="74">
        <f t="shared" si="15"/>
        <v>0.5967723936507936</v>
      </c>
      <c r="N99" s="74">
        <f t="shared" si="22"/>
        <v>0.66433809523809539</v>
      </c>
      <c r="O99" s="75">
        <f t="shared" si="16"/>
        <v>0.11321854413198348</v>
      </c>
      <c r="P99" s="71">
        <v>716</v>
      </c>
      <c r="Q99" s="71">
        <v>330</v>
      </c>
      <c r="R99" s="81"/>
      <c r="S99" s="81"/>
      <c r="T99" s="71">
        <v>1224</v>
      </c>
      <c r="U99" s="71">
        <v>1908</v>
      </c>
      <c r="V99" s="71">
        <f>792+817</f>
        <v>1609</v>
      </c>
      <c r="W99" s="71"/>
      <c r="X99" s="71">
        <v>5.36</v>
      </c>
      <c r="Y99" s="71"/>
      <c r="Z99" s="71"/>
      <c r="AA99" s="71"/>
      <c r="AB99" s="71">
        <v>423</v>
      </c>
      <c r="AC99" s="76">
        <f>IFERROR(AD99/E99,0)</f>
        <v>3759.66608</v>
      </c>
      <c r="AD99" s="77">
        <f t="shared" si="17"/>
        <v>9399.1651999999995</v>
      </c>
      <c r="AE99" s="48">
        <v>420</v>
      </c>
      <c r="AF99" s="78"/>
      <c r="AG99" s="50">
        <v>0</v>
      </c>
      <c r="AH99" s="79"/>
      <c r="AI99" s="50">
        <v>505</v>
      </c>
      <c r="AJ99" s="50">
        <v>760</v>
      </c>
      <c r="AK99" s="50">
        <f>365+300</f>
        <v>665</v>
      </c>
      <c r="AL99" s="76"/>
      <c r="AM99" s="72"/>
      <c r="AN99" s="52">
        <v>2.52</v>
      </c>
      <c r="AO99" s="50"/>
      <c r="AP99" s="76"/>
      <c r="AQ99" s="52">
        <v>170</v>
      </c>
      <c r="AR99" s="53">
        <f t="shared" si="18"/>
        <v>4185.3300000000008</v>
      </c>
      <c r="AS99" s="54">
        <f>AR99*E99</f>
        <v>10463.325000000003</v>
      </c>
      <c r="AT99" s="43">
        <f t="shared" si="19"/>
        <v>425.66392000000087</v>
      </c>
      <c r="AU99" s="41">
        <f>IFERROR(AT99*E99,0)</f>
        <v>1064.1598000000022</v>
      </c>
      <c r="AV99" s="38" t="str">
        <f>D99</f>
        <v>M30</v>
      </c>
      <c r="AW99" s="38">
        <f>P99/E99</f>
        <v>286.39999999999998</v>
      </c>
      <c r="AX99" s="38">
        <f>Q99/E99</f>
        <v>132</v>
      </c>
      <c r="AY99" s="38">
        <f>R99/E99</f>
        <v>0</v>
      </c>
      <c r="AZ99" s="38">
        <f>S99/E99</f>
        <v>0</v>
      </c>
      <c r="BA99" s="38">
        <f>T99/E99</f>
        <v>489.6</v>
      </c>
      <c r="BB99" s="38">
        <f>U99/E99</f>
        <v>763.2</v>
      </c>
      <c r="BC99" s="38">
        <f>V99/E99</f>
        <v>643.6</v>
      </c>
      <c r="BD99" s="38"/>
      <c r="BE99" s="38">
        <f>X99/E99</f>
        <v>2.1440000000000001</v>
      </c>
      <c r="BF99" s="38">
        <f>Y99/E99</f>
        <v>0</v>
      </c>
      <c r="BG99" s="38">
        <f>AB99/E99</f>
        <v>169.2</v>
      </c>
      <c r="BH99" s="55">
        <f>Z99/E99</f>
        <v>0</v>
      </c>
      <c r="BI99" s="38"/>
      <c r="BJ99" s="38">
        <f t="shared" si="12"/>
        <v>2486.1439999999998</v>
      </c>
    </row>
    <row r="100" spans="1:62" ht="18.75">
      <c r="A100" s="36">
        <v>45729</v>
      </c>
      <c r="B100" s="37" t="s">
        <v>85</v>
      </c>
      <c r="C100" s="72"/>
      <c r="D100" s="39" t="s">
        <v>66</v>
      </c>
      <c r="E100" s="66">
        <v>4.5</v>
      </c>
      <c r="F100" s="73"/>
      <c r="G100" s="37" t="s">
        <v>86</v>
      </c>
      <c r="H100" s="42">
        <v>6300</v>
      </c>
      <c r="I100" s="72">
        <f t="shared" si="14"/>
        <v>4066.0399000000002</v>
      </c>
      <c r="J100" s="74">
        <f t="shared" si="20"/>
        <v>3558.8737111111109</v>
      </c>
      <c r="K100" s="74">
        <f t="shared" si="21"/>
        <v>2233.9600999999998</v>
      </c>
      <c r="L100" s="74">
        <f t="shared" si="13"/>
        <v>2741.1262888888891</v>
      </c>
      <c r="M100" s="74">
        <f t="shared" si="15"/>
        <v>0.56490058906525564</v>
      </c>
      <c r="N100" s="74">
        <f t="shared" si="22"/>
        <v>0.64540315873015874</v>
      </c>
      <c r="O100" s="75">
        <f t="shared" si="16"/>
        <v>0.14250749817434458</v>
      </c>
      <c r="P100" s="71">
        <v>892</v>
      </c>
      <c r="Q100" s="71">
        <v>909</v>
      </c>
      <c r="R100" s="81"/>
      <c r="S100" s="81"/>
      <c r="T100" s="71">
        <v>2211</v>
      </c>
      <c r="U100" s="71">
        <v>3374</v>
      </c>
      <c r="V100" s="71">
        <f>1623+1585</f>
        <v>3208</v>
      </c>
      <c r="W100" s="71"/>
      <c r="X100" s="71">
        <v>9.11</v>
      </c>
      <c r="Y100" s="71"/>
      <c r="Z100" s="71"/>
      <c r="AA100" s="71"/>
      <c r="AB100" s="71">
        <v>760</v>
      </c>
      <c r="AC100" s="76">
        <f>IFERROR(AD100/E100,0)</f>
        <v>3558.8737111111109</v>
      </c>
      <c r="AD100" s="77">
        <f t="shared" si="17"/>
        <v>16014.931699999999</v>
      </c>
      <c r="AE100" s="48">
        <v>410</v>
      </c>
      <c r="AF100" s="78"/>
      <c r="AG100" s="50">
        <v>0</v>
      </c>
      <c r="AH100" s="79"/>
      <c r="AI100" s="50">
        <v>490</v>
      </c>
      <c r="AJ100" s="50">
        <v>740</v>
      </c>
      <c r="AK100" s="50">
        <f>350+350</f>
        <v>700</v>
      </c>
      <c r="AL100" s="76"/>
      <c r="AM100" s="72"/>
      <c r="AN100" s="52"/>
      <c r="AO100" s="50">
        <v>2.87</v>
      </c>
      <c r="AP100" s="76"/>
      <c r="AQ100" s="52">
        <v>160</v>
      </c>
      <c r="AR100" s="53">
        <f t="shared" si="18"/>
        <v>4066.0399000000002</v>
      </c>
      <c r="AS100" s="54">
        <f>AR100*E100</f>
        <v>18297.179550000001</v>
      </c>
      <c r="AT100" s="43">
        <f t="shared" si="19"/>
        <v>507.16618888888934</v>
      </c>
      <c r="AU100" s="41">
        <f>IFERROR(AT100*E100,0)</f>
        <v>2282.247850000002</v>
      </c>
      <c r="AV100" s="38" t="str">
        <f>D100</f>
        <v>M35</v>
      </c>
      <c r="AW100" s="38">
        <f>P100/E100</f>
        <v>198.22222222222223</v>
      </c>
      <c r="AX100" s="38">
        <f>Q100/E100</f>
        <v>202</v>
      </c>
      <c r="AY100" s="38">
        <f>R100/E100</f>
        <v>0</v>
      </c>
      <c r="AZ100" s="38">
        <f>S100/E100</f>
        <v>0</v>
      </c>
      <c r="BA100" s="38">
        <f>T100/E100</f>
        <v>491.33333333333331</v>
      </c>
      <c r="BB100" s="38">
        <f>U100/E100</f>
        <v>749.77777777777783</v>
      </c>
      <c r="BC100" s="38">
        <f>V100/E100</f>
        <v>712.88888888888891</v>
      </c>
      <c r="BD100" s="38"/>
      <c r="BE100" s="38">
        <f>X100/E100</f>
        <v>2.0244444444444443</v>
      </c>
      <c r="BF100" s="38">
        <f>Y100/E100</f>
        <v>0</v>
      </c>
      <c r="BG100" s="38">
        <f>AB100/E100</f>
        <v>168.88888888888889</v>
      </c>
      <c r="BH100" s="55">
        <f>Z100/E100</f>
        <v>0</v>
      </c>
      <c r="BI100" s="38"/>
      <c r="BJ100" s="38">
        <f t="shared" si="12"/>
        <v>2525.1355555555556</v>
      </c>
    </row>
    <row r="101" spans="1:62" ht="18.75">
      <c r="A101" s="36">
        <v>45730</v>
      </c>
      <c r="B101" s="37" t="s">
        <v>92</v>
      </c>
      <c r="C101" s="72"/>
      <c r="D101" s="39" t="s">
        <v>43</v>
      </c>
      <c r="E101" s="66">
        <v>15</v>
      </c>
      <c r="F101" s="73"/>
      <c r="G101" s="37" t="s">
        <v>59</v>
      </c>
      <c r="H101" s="42">
        <v>5900</v>
      </c>
      <c r="I101" s="72">
        <f>AR101</f>
        <v>3788.3029999999999</v>
      </c>
      <c r="J101" s="74">
        <f>AC101</f>
        <v>3276.9236666666666</v>
      </c>
      <c r="K101" s="74">
        <f>H101-I101</f>
        <v>2111.6970000000001</v>
      </c>
      <c r="L101" s="74">
        <f>H101-J101</f>
        <v>2623.0763333333334</v>
      </c>
      <c r="M101" s="74">
        <f>($J101)/($H101)</f>
        <v>0.55541079096045198</v>
      </c>
      <c r="N101" s="74">
        <f>I101/H101</f>
        <v>0.64208525423728813</v>
      </c>
      <c r="O101" s="75">
        <f>IFERROR((N101-M101)/M101,0)</f>
        <v>0.15605469804962396</v>
      </c>
      <c r="P101" s="71">
        <v>1934</v>
      </c>
      <c r="Q101" s="71">
        <v>3462</v>
      </c>
      <c r="R101" s="81"/>
      <c r="S101" s="81"/>
      <c r="T101" s="71">
        <v>7154</v>
      </c>
      <c r="U101" s="71">
        <v>11060</v>
      </c>
      <c r="V101" s="71">
        <f>5705+5703</f>
        <v>11408</v>
      </c>
      <c r="W101" s="71"/>
      <c r="X101" s="71">
        <v>20.9</v>
      </c>
      <c r="Y101" s="71"/>
      <c r="Z101" s="71"/>
      <c r="AA101" s="71"/>
      <c r="AB101" s="71">
        <v>2832</v>
      </c>
      <c r="AC101" s="76">
        <f>IFERROR(AD101/E101,0)</f>
        <v>3276.9236666666666</v>
      </c>
      <c r="AD101" s="77">
        <f t="shared" si="17"/>
        <v>49153.854999999996</v>
      </c>
      <c r="AE101" s="48">
        <v>288</v>
      </c>
      <c r="AF101" s="78"/>
      <c r="AG101" s="50">
        <v>72</v>
      </c>
      <c r="AH101" s="79"/>
      <c r="AI101" s="50">
        <v>495</v>
      </c>
      <c r="AJ101" s="50">
        <v>743</v>
      </c>
      <c r="AK101" s="50">
        <v>775</v>
      </c>
      <c r="AL101" s="76"/>
      <c r="AM101" s="72"/>
      <c r="AN101" s="52">
        <v>2.52</v>
      </c>
      <c r="AO101" s="50"/>
      <c r="AP101" s="76"/>
      <c r="AQ101" s="52">
        <v>160</v>
      </c>
      <c r="AR101" s="82">
        <f t="shared" si="18"/>
        <v>3788.3029999999999</v>
      </c>
      <c r="AS101" s="83">
        <f>AR101*E101</f>
        <v>56824.544999999998</v>
      </c>
      <c r="AT101" s="74">
        <f t="shared" si="19"/>
        <v>511.37933333333331</v>
      </c>
      <c r="AU101" s="73">
        <f>IFERROR(AT101*E101,0)</f>
        <v>7670.69</v>
      </c>
      <c r="AV101" s="72" t="str">
        <f>D101</f>
        <v>M30</v>
      </c>
      <c r="AW101" s="72">
        <f>P101/E101</f>
        <v>128.93333333333334</v>
      </c>
      <c r="AX101" s="72">
        <f>Q101/E101</f>
        <v>230.8</v>
      </c>
      <c r="AY101" s="72">
        <f>R101/E101</f>
        <v>0</v>
      </c>
      <c r="AZ101" s="72">
        <f>S101/E101</f>
        <v>0</v>
      </c>
      <c r="BA101" s="72">
        <f>T101/E101</f>
        <v>476.93333333333334</v>
      </c>
      <c r="BB101" s="72">
        <f>U101/E101</f>
        <v>737.33333333333337</v>
      </c>
      <c r="BC101" s="72">
        <f>V101/E101</f>
        <v>760.5333333333333</v>
      </c>
      <c r="BD101" s="72"/>
      <c r="BE101" s="72">
        <f>X101/E101</f>
        <v>1.3933333333333333</v>
      </c>
      <c r="BF101" s="72">
        <f>Y101/E101</f>
        <v>0</v>
      </c>
      <c r="BG101" s="72">
        <f>AB101/E101</f>
        <v>188.8</v>
      </c>
      <c r="BH101" s="84">
        <f>Z101/E101</f>
        <v>0</v>
      </c>
      <c r="BI101" s="72"/>
      <c r="BJ101" s="72">
        <f>SUM(AW101:BI101)</f>
        <v>2524.7266666666669</v>
      </c>
    </row>
    <row r="102" spans="1:62" ht="18.75">
      <c r="A102" s="36">
        <v>45730</v>
      </c>
      <c r="B102" s="37" t="s">
        <v>92</v>
      </c>
      <c r="C102" s="72"/>
      <c r="D102" s="39" t="s">
        <v>43</v>
      </c>
      <c r="E102" s="66">
        <v>5</v>
      </c>
      <c r="F102" s="73"/>
      <c r="G102" s="37" t="s">
        <v>59</v>
      </c>
      <c r="H102" s="42">
        <v>5900</v>
      </c>
      <c r="I102" s="72">
        <f>AR102</f>
        <v>3788.3029999999999</v>
      </c>
      <c r="J102" s="74">
        <f>AC102</f>
        <v>3583.5776000000005</v>
      </c>
      <c r="K102" s="74">
        <f>H102-I102</f>
        <v>2111.6970000000001</v>
      </c>
      <c r="L102" s="74">
        <f>H102-J102</f>
        <v>2316.4223999999995</v>
      </c>
      <c r="M102" s="74">
        <f>($J102)/($H102)</f>
        <v>0.60738603389830514</v>
      </c>
      <c r="N102" s="74">
        <f>I102/H102</f>
        <v>0.64208525423728813</v>
      </c>
      <c r="O102" s="75">
        <f>IFERROR((N102-M102)/M102,0)</f>
        <v>5.7128775444963038E-2</v>
      </c>
      <c r="P102" s="71">
        <v>1252</v>
      </c>
      <c r="Q102" s="71">
        <v>554</v>
      </c>
      <c r="R102" s="81"/>
      <c r="S102" s="81"/>
      <c r="T102" s="71">
        <v>2545</v>
      </c>
      <c r="U102" s="71">
        <v>3757</v>
      </c>
      <c r="V102" s="71">
        <f>1853+1823</f>
        <v>3676</v>
      </c>
      <c r="W102" s="71"/>
      <c r="X102" s="71">
        <v>8.9</v>
      </c>
      <c r="Y102" s="71"/>
      <c r="Z102" s="71"/>
      <c r="AA102" s="71"/>
      <c r="AB102" s="71">
        <v>977</v>
      </c>
      <c r="AC102" s="76">
        <f>IFERROR(AD102/E102,0)</f>
        <v>3583.5776000000005</v>
      </c>
      <c r="AD102" s="77">
        <f t="shared" si="17"/>
        <v>17917.888000000003</v>
      </c>
      <c r="AE102" s="48">
        <v>288</v>
      </c>
      <c r="AF102" s="78"/>
      <c r="AG102" s="50">
        <v>72</v>
      </c>
      <c r="AH102" s="79"/>
      <c r="AI102" s="50">
        <v>495</v>
      </c>
      <c r="AJ102" s="50">
        <v>743</v>
      </c>
      <c r="AK102" s="50">
        <v>775</v>
      </c>
      <c r="AL102" s="76"/>
      <c r="AM102" s="72"/>
      <c r="AN102" s="52">
        <v>2.52</v>
      </c>
      <c r="AO102" s="50"/>
      <c r="AP102" s="76"/>
      <c r="AQ102" s="52">
        <v>160</v>
      </c>
      <c r="AR102" s="82">
        <f t="shared" si="18"/>
        <v>3788.3029999999999</v>
      </c>
      <c r="AS102" s="83">
        <f>AR102*E102</f>
        <v>18941.514999999999</v>
      </c>
      <c r="AT102" s="74">
        <f t="shared" si="19"/>
        <v>204.72539999999935</v>
      </c>
      <c r="AU102" s="73">
        <f>IFERROR(AT102*E102,0)</f>
        <v>1023.6269999999968</v>
      </c>
      <c r="AV102" s="72" t="str">
        <f>D102</f>
        <v>M30</v>
      </c>
      <c r="AW102" s="72">
        <f>P102/E102</f>
        <v>250.4</v>
      </c>
      <c r="AX102" s="72">
        <f>Q102/E102</f>
        <v>110.8</v>
      </c>
      <c r="AY102" s="72">
        <f>R102/E102</f>
        <v>0</v>
      </c>
      <c r="AZ102" s="72">
        <f>S102/E102</f>
        <v>0</v>
      </c>
      <c r="BA102" s="72">
        <f>T102/E102</f>
        <v>509</v>
      </c>
      <c r="BB102" s="72">
        <f>U102/E102</f>
        <v>751.4</v>
      </c>
      <c r="BC102" s="72">
        <f>V102/E102</f>
        <v>735.2</v>
      </c>
      <c r="BD102" s="72"/>
      <c r="BE102" s="72">
        <f>X102/E102</f>
        <v>1.78</v>
      </c>
      <c r="BF102" s="72">
        <f>Y102/E102</f>
        <v>0</v>
      </c>
      <c r="BG102" s="72">
        <f>AB102/E102</f>
        <v>195.4</v>
      </c>
      <c r="BH102" s="84">
        <f>Z102/E102</f>
        <v>0</v>
      </c>
      <c r="BI102" s="72"/>
      <c r="BJ102" s="72">
        <f>SUM(AW102:BI102)</f>
        <v>2553.9800000000005</v>
      </c>
    </row>
    <row r="103" spans="1:62" ht="18.75">
      <c r="A103" s="36">
        <v>45731</v>
      </c>
      <c r="B103" s="37" t="s">
        <v>93</v>
      </c>
      <c r="C103" s="72"/>
      <c r="D103" s="39" t="s">
        <v>31</v>
      </c>
      <c r="E103" s="66">
        <v>9</v>
      </c>
      <c r="F103" s="73"/>
      <c r="G103" s="37" t="s">
        <v>32</v>
      </c>
      <c r="H103" s="42">
        <v>5300</v>
      </c>
      <c r="I103" s="72">
        <f t="shared" ref="I103:I166" si="23">AR103</f>
        <v>3003.4838000000004</v>
      </c>
      <c r="J103" s="74">
        <f t="shared" ref="J103:J166" si="24">AC103</f>
        <v>2722.943122222222</v>
      </c>
      <c r="K103" s="74">
        <f t="shared" ref="K103:K166" si="25">H103-I103</f>
        <v>2296.5161999999996</v>
      </c>
      <c r="L103" s="74">
        <f t="shared" ref="L103:L166" si="26">H103-J103</f>
        <v>2577.056877777778</v>
      </c>
      <c r="M103" s="74">
        <f t="shared" ref="M103:M166" si="27">($J103)/($H103)</f>
        <v>0.51376285324947579</v>
      </c>
      <c r="N103" s="74">
        <f t="shared" ref="N103:N166" si="28">I103/H103</f>
        <v>0.56669505660377362</v>
      </c>
      <c r="O103" s="75">
        <f t="shared" ref="O103:O166" si="29">IFERROR((N103-M103)/M103,0)</f>
        <v>0.10302847514083451</v>
      </c>
      <c r="P103" s="71">
        <v>534</v>
      </c>
      <c r="Q103" s="71">
        <v>905</v>
      </c>
      <c r="R103" s="81"/>
      <c r="S103" s="81"/>
      <c r="T103" s="71">
        <v>3882</v>
      </c>
      <c r="U103" s="71">
        <v>6775</v>
      </c>
      <c r="V103" s="71">
        <f>4706+4740</f>
        <v>9446</v>
      </c>
      <c r="W103" s="71"/>
      <c r="X103" s="71">
        <v>7.13</v>
      </c>
      <c r="Y103" s="71"/>
      <c r="Z103" s="71"/>
      <c r="AA103" s="71"/>
      <c r="AB103" s="71">
        <v>1542</v>
      </c>
      <c r="AC103" s="76">
        <f>IFERROR(AD103/E103,0)</f>
        <v>2722.943122222222</v>
      </c>
      <c r="AD103" s="77">
        <f t="shared" si="17"/>
        <v>24506.488099999999</v>
      </c>
      <c r="AE103" s="48">
        <v>154</v>
      </c>
      <c r="AF103" s="78"/>
      <c r="AG103" s="50">
        <v>66</v>
      </c>
      <c r="AH103" s="79"/>
      <c r="AI103" s="50">
        <v>480</v>
      </c>
      <c r="AJ103" s="50">
        <v>700</v>
      </c>
      <c r="AK103" s="50">
        <f>450+450</f>
        <v>900</v>
      </c>
      <c r="AL103" s="76"/>
      <c r="AM103" s="72"/>
      <c r="AN103" s="52"/>
      <c r="AO103" s="50">
        <v>1.54</v>
      </c>
      <c r="AP103" s="76"/>
      <c r="AQ103" s="52">
        <v>154</v>
      </c>
      <c r="AR103" s="82">
        <f t="shared" si="18"/>
        <v>3003.4838000000004</v>
      </c>
      <c r="AS103" s="83">
        <f>AR103*E103</f>
        <v>27031.354200000005</v>
      </c>
      <c r="AT103" s="74">
        <f t="shared" si="19"/>
        <v>280.54067777777846</v>
      </c>
      <c r="AU103" s="73">
        <f>IFERROR(AT103*E103,0)</f>
        <v>2524.8661000000061</v>
      </c>
      <c r="AV103" s="72" t="str">
        <f>D103</f>
        <v>M10</v>
      </c>
      <c r="AW103" s="72">
        <f>P103/E103</f>
        <v>59.333333333333336</v>
      </c>
      <c r="AX103" s="72">
        <f>Q103/E103</f>
        <v>100.55555555555556</v>
      </c>
      <c r="AY103" s="72">
        <f>R103/E103</f>
        <v>0</v>
      </c>
      <c r="AZ103" s="72">
        <f>S103/E103</f>
        <v>0</v>
      </c>
      <c r="BA103" s="72">
        <f>T103/E103</f>
        <v>431.33333333333331</v>
      </c>
      <c r="BB103" s="72">
        <f>U103/E103</f>
        <v>752.77777777777783</v>
      </c>
      <c r="BC103" s="72">
        <f>V103/E103</f>
        <v>1049.5555555555557</v>
      </c>
      <c r="BD103" s="72"/>
      <c r="BE103" s="72">
        <f>X103/E103</f>
        <v>0.79222222222222216</v>
      </c>
      <c r="BF103" s="72">
        <f>Y103/E103</f>
        <v>0</v>
      </c>
      <c r="BG103" s="72">
        <f>AB103/E103</f>
        <v>171.33333333333334</v>
      </c>
      <c r="BH103" s="84">
        <f>Z103/E103</f>
        <v>0</v>
      </c>
      <c r="BI103" s="72"/>
      <c r="BJ103" s="72">
        <f t="shared" ref="BJ103:BJ166" si="30">SUM(AW103:BI103)</f>
        <v>2565.6811111111115</v>
      </c>
    </row>
    <row r="104" spans="1:62" ht="18.75">
      <c r="A104" s="36">
        <v>45731</v>
      </c>
      <c r="B104" s="37" t="s">
        <v>81</v>
      </c>
      <c r="C104" s="72"/>
      <c r="D104" s="39" t="s">
        <v>34</v>
      </c>
      <c r="E104" s="66">
        <v>19</v>
      </c>
      <c r="F104" s="73"/>
      <c r="G104" s="37" t="s">
        <v>82</v>
      </c>
      <c r="H104" s="42">
        <v>5100</v>
      </c>
      <c r="I104" s="72">
        <f t="shared" si="23"/>
        <v>3256.6862000000001</v>
      </c>
      <c r="J104" s="74">
        <f t="shared" si="24"/>
        <v>2874.8056526315795</v>
      </c>
      <c r="K104" s="74">
        <f t="shared" si="25"/>
        <v>1843.3137999999999</v>
      </c>
      <c r="L104" s="74">
        <f t="shared" si="26"/>
        <v>2225.1943473684205</v>
      </c>
      <c r="M104" s="74">
        <f t="shared" si="27"/>
        <v>0.56368738286893716</v>
      </c>
      <c r="N104" s="74">
        <f t="shared" si="28"/>
        <v>0.63856592156862746</v>
      </c>
      <c r="O104" s="75">
        <f t="shared" si="29"/>
        <v>0.13283699613532116</v>
      </c>
      <c r="P104" s="71">
        <v>1915</v>
      </c>
      <c r="Q104" s="71">
        <v>2288</v>
      </c>
      <c r="R104" s="81"/>
      <c r="S104" s="81"/>
      <c r="T104" s="71">
        <v>9064</v>
      </c>
      <c r="U104" s="71">
        <v>13296</v>
      </c>
      <c r="V104" s="71">
        <f>8725+8611</f>
        <v>17336</v>
      </c>
      <c r="W104" s="71"/>
      <c r="X104" s="71">
        <v>17.420000000000002</v>
      </c>
      <c r="Y104" s="71"/>
      <c r="Z104" s="71"/>
      <c r="AA104" s="71"/>
      <c r="AB104" s="71">
        <v>3443</v>
      </c>
      <c r="AC104" s="76">
        <f>IFERROR(AD104/E104,0)</f>
        <v>2874.8056526315795</v>
      </c>
      <c r="AD104" s="77">
        <f t="shared" si="17"/>
        <v>54621.307400000012</v>
      </c>
      <c r="AE104" s="48">
        <v>196</v>
      </c>
      <c r="AF104" s="78"/>
      <c r="AG104" s="50">
        <v>84</v>
      </c>
      <c r="AH104" s="79"/>
      <c r="AI104" s="50">
        <v>480</v>
      </c>
      <c r="AJ104" s="50">
        <v>715</v>
      </c>
      <c r="AK104" s="50">
        <f>440+400</f>
        <v>840</v>
      </c>
      <c r="AL104" s="76"/>
      <c r="AM104" s="72"/>
      <c r="AN104" s="52"/>
      <c r="AO104" s="50">
        <v>1.96</v>
      </c>
      <c r="AP104" s="76"/>
      <c r="AQ104" s="52">
        <v>160</v>
      </c>
      <c r="AR104" s="82">
        <f t="shared" si="18"/>
        <v>3256.6862000000001</v>
      </c>
      <c r="AS104" s="83">
        <f>AR104*E104</f>
        <v>61877.037800000006</v>
      </c>
      <c r="AT104" s="74">
        <f t="shared" si="19"/>
        <v>381.88054736842059</v>
      </c>
      <c r="AU104" s="73">
        <f>IFERROR(AT104*E104,0)</f>
        <v>7255.7303999999913</v>
      </c>
      <c r="AV104" s="72" t="str">
        <f>D104</f>
        <v>M15</v>
      </c>
      <c r="AW104" s="72">
        <f>P104/E104</f>
        <v>100.78947368421052</v>
      </c>
      <c r="AX104" s="72">
        <f>Q104/E104</f>
        <v>120.42105263157895</v>
      </c>
      <c r="AY104" s="72">
        <f>R104/E104</f>
        <v>0</v>
      </c>
      <c r="AZ104" s="72">
        <f>S104/E104</f>
        <v>0</v>
      </c>
      <c r="BA104" s="72">
        <f>T104/E104</f>
        <v>477.05263157894734</v>
      </c>
      <c r="BB104" s="72">
        <f>U104/E104</f>
        <v>699.78947368421052</v>
      </c>
      <c r="BC104" s="72">
        <f>V104/E104</f>
        <v>912.42105263157896</v>
      </c>
      <c r="BD104" s="72"/>
      <c r="BE104" s="72">
        <f>X104/E104</f>
        <v>0.91684210526315801</v>
      </c>
      <c r="BF104" s="72">
        <f>Y104/E104</f>
        <v>0</v>
      </c>
      <c r="BG104" s="72">
        <f>AB104/E104</f>
        <v>181.21052631578948</v>
      </c>
      <c r="BH104" s="84">
        <f>Z104/E104</f>
        <v>0</v>
      </c>
      <c r="BI104" s="72"/>
      <c r="BJ104" s="72">
        <f t="shared" si="30"/>
        <v>2492.6010526315795</v>
      </c>
    </row>
    <row r="105" spans="1:62" ht="18.75">
      <c r="A105" s="36">
        <v>45731</v>
      </c>
      <c r="B105" s="37" t="s">
        <v>30</v>
      </c>
      <c r="C105" s="72"/>
      <c r="D105" s="39" t="s">
        <v>40</v>
      </c>
      <c r="E105" s="66">
        <v>19</v>
      </c>
      <c r="F105" s="73"/>
      <c r="G105" s="37" t="s">
        <v>41</v>
      </c>
      <c r="H105" s="42">
        <v>5800</v>
      </c>
      <c r="I105" s="72">
        <f t="shared" si="23"/>
        <v>3452.0828000000001</v>
      </c>
      <c r="J105" s="74">
        <f t="shared" si="24"/>
        <v>3161.9837473684211</v>
      </c>
      <c r="K105" s="74">
        <f t="shared" si="25"/>
        <v>2347.9171999999999</v>
      </c>
      <c r="L105" s="74">
        <f t="shared" si="26"/>
        <v>2638.0162526315789</v>
      </c>
      <c r="M105" s="74">
        <f t="shared" si="27"/>
        <v>0.54516961161524502</v>
      </c>
      <c r="N105" s="74">
        <f t="shared" si="28"/>
        <v>0.59518668965517241</v>
      </c>
      <c r="O105" s="75">
        <f t="shared" si="29"/>
        <v>9.1745902512312225E-2</v>
      </c>
      <c r="P105" s="71">
        <f>1485+803</f>
        <v>2288</v>
      </c>
      <c r="Q105" s="71">
        <v>3807</v>
      </c>
      <c r="R105" s="81"/>
      <c r="S105" s="81"/>
      <c r="T105" s="71">
        <v>9080</v>
      </c>
      <c r="U105" s="71">
        <v>14172</v>
      </c>
      <c r="V105" s="71">
        <f>7444+7413</f>
        <v>14857</v>
      </c>
      <c r="W105" s="71"/>
      <c r="X105" s="71">
        <v>24.86</v>
      </c>
      <c r="Y105" s="71"/>
      <c r="Z105" s="71"/>
      <c r="AA105" s="71"/>
      <c r="AB105" s="71">
        <v>3251</v>
      </c>
      <c r="AC105" s="76">
        <f>IFERROR(AD105/E105,0)</f>
        <v>3161.9837473684211</v>
      </c>
      <c r="AD105" s="77">
        <f t="shared" si="17"/>
        <v>60077.691200000001</v>
      </c>
      <c r="AE105" s="48">
        <v>224</v>
      </c>
      <c r="AF105" s="78"/>
      <c r="AG105" s="50">
        <v>96</v>
      </c>
      <c r="AH105" s="79"/>
      <c r="AI105" s="50">
        <v>495</v>
      </c>
      <c r="AJ105" s="50">
        <v>740</v>
      </c>
      <c r="AK105" s="50">
        <v>800</v>
      </c>
      <c r="AL105" s="76"/>
      <c r="AM105" s="72"/>
      <c r="AN105" s="52"/>
      <c r="AO105" s="50">
        <v>2.2400000000000002</v>
      </c>
      <c r="AP105" s="76"/>
      <c r="AQ105" s="52">
        <v>155</v>
      </c>
      <c r="AR105" s="82">
        <f t="shared" si="18"/>
        <v>3452.0828000000001</v>
      </c>
      <c r="AS105" s="83">
        <f>AR105*E105</f>
        <v>65589.573199999999</v>
      </c>
      <c r="AT105" s="74">
        <f t="shared" si="19"/>
        <v>290.09905263157907</v>
      </c>
      <c r="AU105" s="73">
        <f>IFERROR(AT105*E105,0)</f>
        <v>5511.8820000000023</v>
      </c>
      <c r="AV105" s="72" t="str">
        <f>D105</f>
        <v>M25</v>
      </c>
      <c r="AW105" s="72">
        <f>P105/E105</f>
        <v>120.42105263157895</v>
      </c>
      <c r="AX105" s="72">
        <f>Q105/E105</f>
        <v>200.36842105263159</v>
      </c>
      <c r="AY105" s="72">
        <f>R105/E105</f>
        <v>0</v>
      </c>
      <c r="AZ105" s="72">
        <f>S105/E105</f>
        <v>0</v>
      </c>
      <c r="BA105" s="72">
        <f>T105/E105</f>
        <v>477.89473684210526</v>
      </c>
      <c r="BB105" s="72">
        <f>U105/E105</f>
        <v>745.89473684210532</v>
      </c>
      <c r="BC105" s="72">
        <f>V105/E105</f>
        <v>781.9473684210526</v>
      </c>
      <c r="BD105" s="72"/>
      <c r="BE105" s="72">
        <f>X105/E105</f>
        <v>1.3084210526315789</v>
      </c>
      <c r="BF105" s="72">
        <f>Y105/E105</f>
        <v>0</v>
      </c>
      <c r="BG105" s="72">
        <f>AB105/E105</f>
        <v>171.10526315789474</v>
      </c>
      <c r="BH105" s="84">
        <f>Z105/E105</f>
        <v>0</v>
      </c>
      <c r="BI105" s="72"/>
      <c r="BJ105" s="72">
        <f t="shared" si="30"/>
        <v>2498.94</v>
      </c>
    </row>
    <row r="106" spans="1:62" ht="18.75">
      <c r="A106" s="36">
        <v>45731</v>
      </c>
      <c r="B106" s="37" t="s">
        <v>30</v>
      </c>
      <c r="C106" s="72"/>
      <c r="D106" s="39" t="s">
        <v>40</v>
      </c>
      <c r="E106" s="66">
        <v>13</v>
      </c>
      <c r="F106" s="73"/>
      <c r="G106" s="37" t="s">
        <v>41</v>
      </c>
      <c r="H106" s="42">
        <v>5800</v>
      </c>
      <c r="I106" s="72">
        <f t="shared" si="23"/>
        <v>3452.0828000000001</v>
      </c>
      <c r="J106" s="74">
        <f t="shared" si="24"/>
        <v>3323.7232461538465</v>
      </c>
      <c r="K106" s="74">
        <f t="shared" si="25"/>
        <v>2347.9171999999999</v>
      </c>
      <c r="L106" s="74">
        <f t="shared" si="26"/>
        <v>2476.2767538461535</v>
      </c>
      <c r="M106" s="74">
        <f t="shared" si="27"/>
        <v>0.57305573209549077</v>
      </c>
      <c r="N106" s="74">
        <f t="shared" si="28"/>
        <v>0.59518668965517241</v>
      </c>
      <c r="O106" s="75">
        <f t="shared" si="29"/>
        <v>3.8619206335752811E-2</v>
      </c>
      <c r="P106" s="71">
        <f>2221+374</f>
        <v>2595</v>
      </c>
      <c r="Q106" s="71">
        <v>1566</v>
      </c>
      <c r="R106" s="81"/>
      <c r="S106" s="81"/>
      <c r="T106" s="71">
        <v>6361</v>
      </c>
      <c r="U106" s="71">
        <v>9465</v>
      </c>
      <c r="V106" s="71">
        <f>5059+5047</f>
        <v>10106</v>
      </c>
      <c r="W106" s="71"/>
      <c r="X106" s="71">
        <v>16.760000000000002</v>
      </c>
      <c r="Y106" s="71"/>
      <c r="Z106" s="71"/>
      <c r="AA106" s="71"/>
      <c r="AB106" s="71">
        <v>2446</v>
      </c>
      <c r="AC106" s="76">
        <f>IFERROR(AD106/E106,0)</f>
        <v>3323.7232461538465</v>
      </c>
      <c r="AD106" s="77">
        <f t="shared" si="17"/>
        <v>43208.402200000004</v>
      </c>
      <c r="AE106" s="48">
        <v>224</v>
      </c>
      <c r="AF106" s="78"/>
      <c r="AG106" s="50">
        <v>96</v>
      </c>
      <c r="AH106" s="79"/>
      <c r="AI106" s="50">
        <v>495</v>
      </c>
      <c r="AJ106" s="50">
        <v>740</v>
      </c>
      <c r="AK106" s="50">
        <v>800</v>
      </c>
      <c r="AL106" s="76"/>
      <c r="AM106" s="72"/>
      <c r="AN106" s="52"/>
      <c r="AO106" s="50">
        <v>2.2400000000000002</v>
      </c>
      <c r="AP106" s="76"/>
      <c r="AQ106" s="52">
        <v>155</v>
      </c>
      <c r="AR106" s="82">
        <f t="shared" si="18"/>
        <v>3452.0828000000001</v>
      </c>
      <c r="AS106" s="83">
        <f>AR106*E106</f>
        <v>44877.076400000005</v>
      </c>
      <c r="AT106" s="74">
        <f t="shared" si="19"/>
        <v>128.35955384615363</v>
      </c>
      <c r="AU106" s="73">
        <f>IFERROR(AT106*E106,0)</f>
        <v>1668.6741999999972</v>
      </c>
      <c r="AV106" s="72" t="str">
        <f>D106</f>
        <v>M25</v>
      </c>
      <c r="AW106" s="72">
        <f>P106/E106</f>
        <v>199.61538461538461</v>
      </c>
      <c r="AX106" s="72">
        <f>Q106/E106</f>
        <v>120.46153846153847</v>
      </c>
      <c r="AY106" s="72">
        <f>R106/E106</f>
        <v>0</v>
      </c>
      <c r="AZ106" s="72">
        <f>S106/E106</f>
        <v>0</v>
      </c>
      <c r="BA106" s="72">
        <f>T106/E106</f>
        <v>489.30769230769232</v>
      </c>
      <c r="BB106" s="72">
        <f>U106/E106</f>
        <v>728.07692307692309</v>
      </c>
      <c r="BC106" s="72">
        <f>V106/E106</f>
        <v>777.38461538461536</v>
      </c>
      <c r="BD106" s="72"/>
      <c r="BE106" s="72">
        <f>X106/E106</f>
        <v>1.2892307692307694</v>
      </c>
      <c r="BF106" s="72">
        <f>Y106/E106</f>
        <v>0</v>
      </c>
      <c r="BG106" s="72">
        <f>AB106/E106</f>
        <v>188.15384615384616</v>
      </c>
      <c r="BH106" s="84">
        <f>Z106/E106</f>
        <v>0</v>
      </c>
      <c r="BI106" s="72"/>
      <c r="BJ106" s="72">
        <f t="shared" si="30"/>
        <v>2504.2892307692309</v>
      </c>
    </row>
    <row r="107" spans="1:62" ht="18.75">
      <c r="A107" s="36">
        <v>45731</v>
      </c>
      <c r="B107" s="37" t="s">
        <v>94</v>
      </c>
      <c r="C107" s="72"/>
      <c r="D107" s="39" t="s">
        <v>40</v>
      </c>
      <c r="E107" s="66">
        <v>7</v>
      </c>
      <c r="F107" s="73"/>
      <c r="G107" s="37" t="s">
        <v>41</v>
      </c>
      <c r="H107" s="42">
        <v>5754</v>
      </c>
      <c r="I107" s="72">
        <f t="shared" si="23"/>
        <v>3452.0828000000001</v>
      </c>
      <c r="J107" s="74">
        <f t="shared" si="24"/>
        <v>3262.7242285714287</v>
      </c>
      <c r="K107" s="74">
        <f t="shared" si="25"/>
        <v>2301.9171999999999</v>
      </c>
      <c r="L107" s="74">
        <f t="shared" si="26"/>
        <v>2491.2757714285713</v>
      </c>
      <c r="M107" s="74">
        <f t="shared" si="27"/>
        <v>0.56703584090570536</v>
      </c>
      <c r="N107" s="74">
        <f t="shared" si="28"/>
        <v>0.5999448731317345</v>
      </c>
      <c r="O107" s="75">
        <f t="shared" si="29"/>
        <v>5.8036952608612476E-2</v>
      </c>
      <c r="P107" s="71">
        <v>1119</v>
      </c>
      <c r="Q107" s="71">
        <v>1124</v>
      </c>
      <c r="R107" s="81"/>
      <c r="S107" s="81"/>
      <c r="T107" s="71">
        <v>3415</v>
      </c>
      <c r="U107" s="71">
        <v>4960</v>
      </c>
      <c r="V107" s="71">
        <f>2902+2887</f>
        <v>5789</v>
      </c>
      <c r="W107" s="71"/>
      <c r="X107" s="71">
        <v>8.8800000000000008</v>
      </c>
      <c r="Y107" s="71"/>
      <c r="Z107" s="71"/>
      <c r="AA107" s="71"/>
      <c r="AB107" s="71">
        <v>1274</v>
      </c>
      <c r="AC107" s="76">
        <f>IFERROR(AD107/E107,0)</f>
        <v>3262.7242285714287</v>
      </c>
      <c r="AD107" s="77">
        <f t="shared" si="17"/>
        <v>22839.069600000003</v>
      </c>
      <c r="AE107" s="48">
        <v>224</v>
      </c>
      <c r="AF107" s="78"/>
      <c r="AG107" s="50">
        <v>96</v>
      </c>
      <c r="AH107" s="79"/>
      <c r="AI107" s="50">
        <v>495</v>
      </c>
      <c r="AJ107" s="50">
        <v>740</v>
      </c>
      <c r="AK107" s="50">
        <v>800</v>
      </c>
      <c r="AL107" s="76"/>
      <c r="AM107" s="72"/>
      <c r="AN107" s="52"/>
      <c r="AO107" s="50">
        <v>2.2400000000000002</v>
      </c>
      <c r="AP107" s="76"/>
      <c r="AQ107" s="52">
        <v>155</v>
      </c>
      <c r="AR107" s="82">
        <f t="shared" si="18"/>
        <v>3452.0828000000001</v>
      </c>
      <c r="AS107" s="83">
        <f>AR107*E107</f>
        <v>24164.579600000001</v>
      </c>
      <c r="AT107" s="74">
        <f t="shared" si="19"/>
        <v>189.35857142857139</v>
      </c>
      <c r="AU107" s="73">
        <f>IFERROR(AT107*E107,0)</f>
        <v>1325.5099999999998</v>
      </c>
      <c r="AV107" s="72" t="str">
        <f>D107</f>
        <v>M25</v>
      </c>
      <c r="AW107" s="72">
        <f>P107/E107</f>
        <v>159.85714285714286</v>
      </c>
      <c r="AX107" s="72">
        <f>Q107/E107</f>
        <v>160.57142857142858</v>
      </c>
      <c r="AY107" s="72">
        <f>R107/E107</f>
        <v>0</v>
      </c>
      <c r="AZ107" s="72">
        <f>S107/E107</f>
        <v>0</v>
      </c>
      <c r="BA107" s="72">
        <f>T107/E107</f>
        <v>487.85714285714283</v>
      </c>
      <c r="BB107" s="72">
        <f>U107/E107</f>
        <v>708.57142857142856</v>
      </c>
      <c r="BC107" s="72">
        <f>V107/E107</f>
        <v>827</v>
      </c>
      <c r="BD107" s="72"/>
      <c r="BE107" s="72">
        <f>X107/E107</f>
        <v>1.2685714285714287</v>
      </c>
      <c r="BF107" s="72">
        <f>Y107/E107</f>
        <v>0</v>
      </c>
      <c r="BG107" s="72">
        <f>AB107/E107</f>
        <v>182</v>
      </c>
      <c r="BH107" s="84">
        <f>Z107/E107</f>
        <v>0</v>
      </c>
      <c r="BI107" s="72"/>
      <c r="BJ107" s="72">
        <f t="shared" si="30"/>
        <v>2527.1257142857139</v>
      </c>
    </row>
    <row r="108" spans="1:62" ht="18.75">
      <c r="A108" s="36">
        <v>45731</v>
      </c>
      <c r="B108" s="37" t="s">
        <v>47</v>
      </c>
      <c r="C108" s="72"/>
      <c r="D108" s="39" t="s">
        <v>43</v>
      </c>
      <c r="E108" s="66">
        <v>6</v>
      </c>
      <c r="F108" s="73"/>
      <c r="G108" s="37" t="s">
        <v>78</v>
      </c>
      <c r="H108" s="42">
        <v>5700</v>
      </c>
      <c r="I108" s="72">
        <f t="shared" si="23"/>
        <v>3886.9700000000003</v>
      </c>
      <c r="J108" s="74">
        <f t="shared" si="24"/>
        <v>3496.9027666666666</v>
      </c>
      <c r="K108" s="74">
        <f t="shared" si="25"/>
        <v>1813.0299999999997</v>
      </c>
      <c r="L108" s="74">
        <f t="shared" si="26"/>
        <v>2203.0972333333334</v>
      </c>
      <c r="M108" s="74">
        <f t="shared" si="27"/>
        <v>0.61349171345029241</v>
      </c>
      <c r="N108" s="74">
        <f t="shared" si="28"/>
        <v>0.68192456140350877</v>
      </c>
      <c r="O108" s="75">
        <f t="shared" si="29"/>
        <v>0.11154649109822258</v>
      </c>
      <c r="P108" s="71">
        <f>639+732</f>
        <v>1371</v>
      </c>
      <c r="Q108" s="71">
        <v>784</v>
      </c>
      <c r="R108" s="81"/>
      <c r="S108" s="81"/>
      <c r="T108" s="71">
        <v>2888</v>
      </c>
      <c r="U108" s="71">
        <v>4088</v>
      </c>
      <c r="V108" s="71">
        <f>2358+2477</f>
        <v>4835</v>
      </c>
      <c r="W108" s="71"/>
      <c r="X108" s="71">
        <v>9.7799999999999994</v>
      </c>
      <c r="Y108" s="71"/>
      <c r="Z108" s="71"/>
      <c r="AA108" s="71"/>
      <c r="AB108" s="71">
        <v>1095</v>
      </c>
      <c r="AC108" s="76">
        <f>IFERROR(AD108/E108,0)</f>
        <v>3496.9027666666666</v>
      </c>
      <c r="AD108" s="77">
        <f t="shared" si="17"/>
        <v>20981.4166</v>
      </c>
      <c r="AE108" s="48">
        <v>320</v>
      </c>
      <c r="AF108" s="78"/>
      <c r="AG108" s="50">
        <v>80</v>
      </c>
      <c r="AH108" s="79"/>
      <c r="AI108" s="50">
        <v>515</v>
      </c>
      <c r="AJ108" s="50">
        <v>780</v>
      </c>
      <c r="AK108" s="50">
        <f>360+300</f>
        <v>660</v>
      </c>
      <c r="AL108" s="76"/>
      <c r="AM108" s="72"/>
      <c r="AN108" s="52">
        <v>2</v>
      </c>
      <c r="AO108" s="50"/>
      <c r="AP108" s="76"/>
      <c r="AQ108" s="52">
        <v>152</v>
      </c>
      <c r="AR108" s="82">
        <f t="shared" si="18"/>
        <v>3886.9700000000003</v>
      </c>
      <c r="AS108" s="83">
        <f>AR108*E108</f>
        <v>23321.82</v>
      </c>
      <c r="AT108" s="74">
        <f t="shared" si="19"/>
        <v>390.06723333333366</v>
      </c>
      <c r="AU108" s="73">
        <f>IFERROR(AT108*E108,0)</f>
        <v>2340.403400000002</v>
      </c>
      <c r="AV108" s="72" t="str">
        <f>D108</f>
        <v>M30</v>
      </c>
      <c r="AW108" s="72">
        <f>P108/E108</f>
        <v>228.5</v>
      </c>
      <c r="AX108" s="72">
        <f>Q108/E108</f>
        <v>130.66666666666666</v>
      </c>
      <c r="AY108" s="72">
        <f>R108/E108</f>
        <v>0</v>
      </c>
      <c r="AZ108" s="72">
        <f>S108/E108</f>
        <v>0</v>
      </c>
      <c r="BA108" s="72">
        <f>T108/E108</f>
        <v>481.33333333333331</v>
      </c>
      <c r="BB108" s="72">
        <f>U108/E108</f>
        <v>681.33333333333337</v>
      </c>
      <c r="BC108" s="72">
        <f>V108/E108</f>
        <v>805.83333333333337</v>
      </c>
      <c r="BD108" s="72"/>
      <c r="BE108" s="72">
        <f>X108/E108</f>
        <v>1.63</v>
      </c>
      <c r="BF108" s="72">
        <f>Y108/E108</f>
        <v>0</v>
      </c>
      <c r="BG108" s="72">
        <f>AB108/E108</f>
        <v>182.5</v>
      </c>
      <c r="BH108" s="84">
        <f>Z108/E108</f>
        <v>0</v>
      </c>
      <c r="BI108" s="72"/>
      <c r="BJ108" s="72">
        <f t="shared" si="30"/>
        <v>2511.7966666666671</v>
      </c>
    </row>
    <row r="109" spans="1:62" ht="18.75">
      <c r="A109" s="36">
        <v>45731</v>
      </c>
      <c r="B109" s="37" t="s">
        <v>47</v>
      </c>
      <c r="C109" s="72"/>
      <c r="D109" s="39" t="s">
        <v>43</v>
      </c>
      <c r="E109" s="66">
        <v>3</v>
      </c>
      <c r="F109" s="73"/>
      <c r="G109" s="37" t="s">
        <v>78</v>
      </c>
      <c r="H109" s="42">
        <v>5700</v>
      </c>
      <c r="I109" s="72">
        <f t="shared" si="23"/>
        <v>3886.9700000000003</v>
      </c>
      <c r="J109" s="74">
        <f t="shared" si="24"/>
        <v>3647.3761333333332</v>
      </c>
      <c r="K109" s="74">
        <f t="shared" si="25"/>
        <v>1813.0299999999997</v>
      </c>
      <c r="L109" s="74">
        <f t="shared" si="26"/>
        <v>2052.6238666666668</v>
      </c>
      <c r="M109" s="74">
        <f t="shared" si="27"/>
        <v>0.63989054970760229</v>
      </c>
      <c r="N109" s="74">
        <f t="shared" si="28"/>
        <v>0.68192456140350877</v>
      </c>
      <c r="O109" s="75">
        <f t="shared" si="29"/>
        <v>6.5689377214765726E-2</v>
      </c>
      <c r="P109" s="71">
        <v>784</v>
      </c>
      <c r="Q109" s="71">
        <v>423</v>
      </c>
      <c r="R109" s="81"/>
      <c r="S109" s="81"/>
      <c r="T109" s="71">
        <v>1448</v>
      </c>
      <c r="U109" s="71">
        <v>2086</v>
      </c>
      <c r="V109" s="71">
        <f>1071+1101</f>
        <v>2172</v>
      </c>
      <c r="W109" s="71"/>
      <c r="X109" s="71">
        <v>5.42</v>
      </c>
      <c r="Y109" s="71"/>
      <c r="Z109" s="71"/>
      <c r="AA109" s="71"/>
      <c r="AB109" s="71">
        <v>545</v>
      </c>
      <c r="AC109" s="76">
        <f>IFERROR(AD109/E109,0)</f>
        <v>3647.3761333333332</v>
      </c>
      <c r="AD109" s="77">
        <f t="shared" si="17"/>
        <v>10942.1284</v>
      </c>
      <c r="AE109" s="48">
        <v>320</v>
      </c>
      <c r="AF109" s="78"/>
      <c r="AG109" s="50">
        <v>80</v>
      </c>
      <c r="AH109" s="79"/>
      <c r="AI109" s="50">
        <v>515</v>
      </c>
      <c r="AJ109" s="50">
        <v>780</v>
      </c>
      <c r="AK109" s="50">
        <f>360+300</f>
        <v>660</v>
      </c>
      <c r="AL109" s="76"/>
      <c r="AM109" s="72"/>
      <c r="AN109" s="52">
        <v>2</v>
      </c>
      <c r="AO109" s="50"/>
      <c r="AP109" s="76"/>
      <c r="AQ109" s="52">
        <v>152</v>
      </c>
      <c r="AR109" s="82">
        <f t="shared" si="18"/>
        <v>3886.9700000000003</v>
      </c>
      <c r="AS109" s="83">
        <f>AR109*E109</f>
        <v>11660.91</v>
      </c>
      <c r="AT109" s="74">
        <f t="shared" si="19"/>
        <v>239.59386666666705</v>
      </c>
      <c r="AU109" s="73">
        <f>IFERROR(AT109*E109,0)</f>
        <v>718.78160000000116</v>
      </c>
      <c r="AV109" s="72" t="str">
        <f>D109</f>
        <v>M30</v>
      </c>
      <c r="AW109" s="72">
        <f>P109/E109</f>
        <v>261.33333333333331</v>
      </c>
      <c r="AX109" s="72">
        <f>Q109/E109</f>
        <v>141</v>
      </c>
      <c r="AY109" s="72">
        <f>R109/E109</f>
        <v>0</v>
      </c>
      <c r="AZ109" s="72">
        <f>S109/E109</f>
        <v>0</v>
      </c>
      <c r="BA109" s="72">
        <f>T109/E109</f>
        <v>482.66666666666669</v>
      </c>
      <c r="BB109" s="72">
        <f>U109/E109</f>
        <v>695.33333333333337</v>
      </c>
      <c r="BC109" s="72">
        <f>V109/E109</f>
        <v>724</v>
      </c>
      <c r="BD109" s="72"/>
      <c r="BE109" s="72">
        <f>X109/E109</f>
        <v>1.8066666666666666</v>
      </c>
      <c r="BF109" s="72">
        <f>Y109/E109</f>
        <v>0</v>
      </c>
      <c r="BG109" s="72">
        <f>AB109/E109</f>
        <v>181.66666666666666</v>
      </c>
      <c r="BH109" s="84">
        <f>Z109/E109</f>
        <v>0</v>
      </c>
      <c r="BI109" s="72"/>
      <c r="BJ109" s="72">
        <f t="shared" si="30"/>
        <v>2487.8066666666668</v>
      </c>
    </row>
    <row r="110" spans="1:62" ht="18.75">
      <c r="A110" s="36">
        <v>45731</v>
      </c>
      <c r="B110" s="37" t="s">
        <v>47</v>
      </c>
      <c r="C110" s="72"/>
      <c r="D110" s="39" t="s">
        <v>43</v>
      </c>
      <c r="E110" s="66">
        <v>6</v>
      </c>
      <c r="F110" s="73"/>
      <c r="G110" s="37" t="s">
        <v>78</v>
      </c>
      <c r="H110" s="42">
        <v>5700</v>
      </c>
      <c r="I110" s="72">
        <f t="shared" si="23"/>
        <v>3886.9700000000003</v>
      </c>
      <c r="J110" s="74">
        <f t="shared" si="24"/>
        <v>3552.8974666666672</v>
      </c>
      <c r="K110" s="74">
        <f t="shared" si="25"/>
        <v>1813.0299999999997</v>
      </c>
      <c r="L110" s="74">
        <f t="shared" si="26"/>
        <v>2147.1025333333328</v>
      </c>
      <c r="M110" s="74">
        <f t="shared" si="27"/>
        <v>0.62331534502923991</v>
      </c>
      <c r="N110" s="74">
        <f t="shared" si="28"/>
        <v>0.68192456140350877</v>
      </c>
      <c r="O110" s="75">
        <f t="shared" si="29"/>
        <v>9.4028194302708021E-2</v>
      </c>
      <c r="P110" s="71">
        <v>1503</v>
      </c>
      <c r="Q110" s="71">
        <v>664</v>
      </c>
      <c r="R110" s="81"/>
      <c r="S110" s="81"/>
      <c r="T110" s="71">
        <v>2969</v>
      </c>
      <c r="U110" s="71">
        <v>4416</v>
      </c>
      <c r="V110" s="71">
        <f>2215+2176</f>
        <v>4391</v>
      </c>
      <c r="W110" s="71"/>
      <c r="X110" s="71">
        <v>10.64</v>
      </c>
      <c r="Y110" s="71"/>
      <c r="Z110" s="71"/>
      <c r="AA110" s="71"/>
      <c r="AB110" s="71">
        <v>1154</v>
      </c>
      <c r="AC110" s="76">
        <f>IFERROR(AD110/E110,0)</f>
        <v>3552.8974666666672</v>
      </c>
      <c r="AD110" s="77">
        <f t="shared" si="17"/>
        <v>21317.384800000003</v>
      </c>
      <c r="AE110" s="48">
        <v>320</v>
      </c>
      <c r="AF110" s="78"/>
      <c r="AG110" s="50">
        <v>80</v>
      </c>
      <c r="AH110" s="79"/>
      <c r="AI110" s="50">
        <v>515</v>
      </c>
      <c r="AJ110" s="50">
        <v>780</v>
      </c>
      <c r="AK110" s="50">
        <f>360+300</f>
        <v>660</v>
      </c>
      <c r="AL110" s="76"/>
      <c r="AM110" s="72"/>
      <c r="AN110" s="52">
        <v>2</v>
      </c>
      <c r="AO110" s="50"/>
      <c r="AP110" s="76"/>
      <c r="AQ110" s="52">
        <v>152</v>
      </c>
      <c r="AR110" s="82">
        <f t="shared" si="18"/>
        <v>3886.9700000000003</v>
      </c>
      <c r="AS110" s="83">
        <f>AR110*E110</f>
        <v>23321.82</v>
      </c>
      <c r="AT110" s="74">
        <f t="shared" si="19"/>
        <v>334.07253333333301</v>
      </c>
      <c r="AU110" s="73">
        <f>IFERROR(AT110*E110,0)</f>
        <v>2004.4351999999981</v>
      </c>
      <c r="AV110" s="72" t="str">
        <f>D110</f>
        <v>M30</v>
      </c>
      <c r="AW110" s="72">
        <f>P110/E110</f>
        <v>250.5</v>
      </c>
      <c r="AX110" s="72">
        <f>Q110/E110</f>
        <v>110.66666666666667</v>
      </c>
      <c r="AY110" s="72">
        <f>R110/E110</f>
        <v>0</v>
      </c>
      <c r="AZ110" s="72">
        <f>S110/E110</f>
        <v>0</v>
      </c>
      <c r="BA110" s="72">
        <f>T110/E110</f>
        <v>494.83333333333331</v>
      </c>
      <c r="BB110" s="72">
        <f>U110/E110</f>
        <v>736</v>
      </c>
      <c r="BC110" s="72">
        <f>V110/E110</f>
        <v>731.83333333333337</v>
      </c>
      <c r="BD110" s="72"/>
      <c r="BE110" s="72">
        <f>X110/E110</f>
        <v>1.7733333333333334</v>
      </c>
      <c r="BF110" s="72">
        <f>Y110/E110</f>
        <v>0</v>
      </c>
      <c r="BG110" s="72">
        <f>AB110/E110</f>
        <v>192.33333333333334</v>
      </c>
      <c r="BH110" s="84">
        <f>Z110/E110</f>
        <v>0</v>
      </c>
      <c r="BI110" s="72"/>
      <c r="BJ110" s="72">
        <f t="shared" si="30"/>
        <v>2517.9400000000005</v>
      </c>
    </row>
    <row r="111" spans="1:62" ht="18.75">
      <c r="A111" s="36">
        <v>45731</v>
      </c>
      <c r="B111" s="37" t="s">
        <v>36</v>
      </c>
      <c r="C111" s="72"/>
      <c r="D111" s="39" t="s">
        <v>43</v>
      </c>
      <c r="E111" s="66">
        <v>7</v>
      </c>
      <c r="F111" s="73"/>
      <c r="G111" s="37" t="s">
        <v>59</v>
      </c>
      <c r="H111" s="42">
        <v>5900</v>
      </c>
      <c r="I111" s="72">
        <f t="shared" si="23"/>
        <v>3627.3514</v>
      </c>
      <c r="J111" s="74">
        <f t="shared" si="24"/>
        <v>3243.3277999999996</v>
      </c>
      <c r="K111" s="74">
        <f t="shared" si="25"/>
        <v>2272.6486</v>
      </c>
      <c r="L111" s="74">
        <f t="shared" si="26"/>
        <v>2656.6722000000004</v>
      </c>
      <c r="M111" s="74">
        <f t="shared" si="27"/>
        <v>0.54971657627118642</v>
      </c>
      <c r="N111" s="74">
        <f t="shared" si="28"/>
        <v>0.61480532203389826</v>
      </c>
      <c r="O111" s="75">
        <f t="shared" si="29"/>
        <v>0.11840418967210156</v>
      </c>
      <c r="P111" s="71">
        <v>863</v>
      </c>
      <c r="Q111" s="71">
        <v>1613</v>
      </c>
      <c r="R111" s="81"/>
      <c r="S111" s="81"/>
      <c r="T111" s="71">
        <v>3332</v>
      </c>
      <c r="U111" s="71">
        <v>5173</v>
      </c>
      <c r="V111" s="71">
        <f>2668+2643</f>
        <v>5311</v>
      </c>
      <c r="W111" s="71"/>
      <c r="X111" s="71">
        <v>9.7799999999999994</v>
      </c>
      <c r="Y111" s="71"/>
      <c r="Z111" s="71"/>
      <c r="AA111" s="71"/>
      <c r="AB111" s="71">
        <v>1183</v>
      </c>
      <c r="AC111" s="76">
        <f>IFERROR(AD111/E111,0)</f>
        <v>3243.3277999999996</v>
      </c>
      <c r="AD111" s="77">
        <f t="shared" si="17"/>
        <v>22703.294599999997</v>
      </c>
      <c r="AE111" s="48">
        <v>252</v>
      </c>
      <c r="AF111" s="78"/>
      <c r="AG111" s="50">
        <v>108</v>
      </c>
      <c r="AH111" s="79"/>
      <c r="AI111" s="50">
        <v>495</v>
      </c>
      <c r="AJ111" s="50">
        <v>743</v>
      </c>
      <c r="AK111" s="50">
        <f>300+475</f>
        <v>775</v>
      </c>
      <c r="AL111" s="76"/>
      <c r="AM111" s="72"/>
      <c r="AN111" s="52"/>
      <c r="AO111" s="50">
        <v>2.52</v>
      </c>
      <c r="AP111" s="76"/>
      <c r="AQ111" s="52">
        <v>150</v>
      </c>
      <c r="AR111" s="82">
        <f t="shared" si="18"/>
        <v>3627.3514</v>
      </c>
      <c r="AS111" s="83">
        <f>AR111*E111</f>
        <v>25391.459800000001</v>
      </c>
      <c r="AT111" s="74">
        <f t="shared" si="19"/>
        <v>384.02360000000044</v>
      </c>
      <c r="AU111" s="73">
        <f>IFERROR(AT111*E111,0)</f>
        <v>2688.1652000000031</v>
      </c>
      <c r="AV111" s="72" t="str">
        <f>D111</f>
        <v>M30</v>
      </c>
      <c r="AW111" s="72">
        <f>P111/E111</f>
        <v>123.28571428571429</v>
      </c>
      <c r="AX111" s="72">
        <f>Q111/E111</f>
        <v>230.42857142857142</v>
      </c>
      <c r="AY111" s="72">
        <f>R111/E111</f>
        <v>0</v>
      </c>
      <c r="AZ111" s="72">
        <f>S111/E111</f>
        <v>0</v>
      </c>
      <c r="BA111" s="72">
        <f>T111/E111</f>
        <v>476</v>
      </c>
      <c r="BB111" s="72">
        <f>U111/E111</f>
        <v>739</v>
      </c>
      <c r="BC111" s="72">
        <f>V111/E111</f>
        <v>758.71428571428567</v>
      </c>
      <c r="BD111" s="72"/>
      <c r="BE111" s="72">
        <f>X111/E111</f>
        <v>1.397142857142857</v>
      </c>
      <c r="BF111" s="72">
        <f>Y111/E111</f>
        <v>0</v>
      </c>
      <c r="BG111" s="72">
        <f>AB111/E111</f>
        <v>169</v>
      </c>
      <c r="BH111" s="84">
        <f>Z111/E111</f>
        <v>0</v>
      </c>
      <c r="BI111" s="72"/>
      <c r="BJ111" s="72">
        <f t="shared" si="30"/>
        <v>2497.8257142857146</v>
      </c>
    </row>
    <row r="112" spans="1:62" ht="18.75">
      <c r="A112" s="36">
        <v>45732</v>
      </c>
      <c r="B112" s="37" t="s">
        <v>95</v>
      </c>
      <c r="C112" s="72"/>
      <c r="D112" s="39" t="s">
        <v>34</v>
      </c>
      <c r="E112" s="66">
        <v>6</v>
      </c>
      <c r="F112" s="73"/>
      <c r="G112" s="37" t="s">
        <v>82</v>
      </c>
      <c r="H112" s="42">
        <v>5200</v>
      </c>
      <c r="I112" s="72">
        <f t="shared" si="23"/>
        <v>3256.6862000000001</v>
      </c>
      <c r="J112" s="74">
        <f t="shared" si="24"/>
        <v>2869.8362833333335</v>
      </c>
      <c r="K112" s="74">
        <f t="shared" si="25"/>
        <v>1943.3137999999999</v>
      </c>
      <c r="L112" s="74">
        <f t="shared" si="26"/>
        <v>2330.1637166666665</v>
      </c>
      <c r="M112" s="74">
        <f t="shared" si="27"/>
        <v>0.55189159294871803</v>
      </c>
      <c r="N112" s="74">
        <f t="shared" si="28"/>
        <v>0.62628580769230768</v>
      </c>
      <c r="O112" s="75">
        <f t="shared" si="29"/>
        <v>0.13479860120011355</v>
      </c>
      <c r="P112" s="71">
        <v>607</v>
      </c>
      <c r="Q112" s="71">
        <v>724</v>
      </c>
      <c r="R112" s="81"/>
      <c r="S112" s="81"/>
      <c r="T112" s="71">
        <v>2869</v>
      </c>
      <c r="U112" s="71">
        <v>4177</v>
      </c>
      <c r="V112" s="71">
        <f>2728+2707</f>
        <v>5435</v>
      </c>
      <c r="W112" s="71"/>
      <c r="X112" s="71">
        <v>5.71</v>
      </c>
      <c r="Y112" s="71"/>
      <c r="Z112" s="71"/>
      <c r="AA112" s="71"/>
      <c r="AB112" s="71">
        <v>1036</v>
      </c>
      <c r="AC112" s="76">
        <f>IFERROR(AD112/E112,0)</f>
        <v>2869.8362833333335</v>
      </c>
      <c r="AD112" s="77">
        <f t="shared" si="17"/>
        <v>17219.0177</v>
      </c>
      <c r="AE112" s="48">
        <v>196</v>
      </c>
      <c r="AF112" s="78"/>
      <c r="AG112" s="50">
        <v>84</v>
      </c>
      <c r="AH112" s="79"/>
      <c r="AI112" s="50">
        <v>480</v>
      </c>
      <c r="AJ112" s="50">
        <v>715</v>
      </c>
      <c r="AK112" s="50">
        <f>440+400</f>
        <v>840</v>
      </c>
      <c r="AL112" s="76"/>
      <c r="AM112" s="72"/>
      <c r="AN112" s="52"/>
      <c r="AO112" s="50">
        <v>1.96</v>
      </c>
      <c r="AP112" s="76"/>
      <c r="AQ112" s="52">
        <v>160</v>
      </c>
      <c r="AR112" s="82">
        <f t="shared" si="18"/>
        <v>3256.6862000000001</v>
      </c>
      <c r="AS112" s="83">
        <f>AR112*E112</f>
        <v>19540.117200000001</v>
      </c>
      <c r="AT112" s="74">
        <f t="shared" si="19"/>
        <v>386.84991666666656</v>
      </c>
      <c r="AU112" s="73">
        <f>IFERROR(AT112*E112,0)</f>
        <v>2321.0994999999994</v>
      </c>
      <c r="AV112" s="72" t="str">
        <f>D112</f>
        <v>M15</v>
      </c>
      <c r="AW112" s="72">
        <f>P112/E112</f>
        <v>101.16666666666667</v>
      </c>
      <c r="AX112" s="72">
        <f>Q112/E112</f>
        <v>120.66666666666667</v>
      </c>
      <c r="AY112" s="72">
        <f>R112/E112</f>
        <v>0</v>
      </c>
      <c r="AZ112" s="72">
        <f>S112/E112</f>
        <v>0</v>
      </c>
      <c r="BA112" s="72">
        <f>T112/E112</f>
        <v>478.16666666666669</v>
      </c>
      <c r="BB112" s="72">
        <f>U112/E112</f>
        <v>696.16666666666663</v>
      </c>
      <c r="BC112" s="72">
        <f>V112/E112</f>
        <v>905.83333333333337</v>
      </c>
      <c r="BD112" s="72"/>
      <c r="BE112" s="72">
        <f>X112/E112</f>
        <v>0.95166666666666666</v>
      </c>
      <c r="BF112" s="72">
        <f>Y112/E112</f>
        <v>0</v>
      </c>
      <c r="BG112" s="72">
        <f>AB112/E112</f>
        <v>172.66666666666666</v>
      </c>
      <c r="BH112" s="84">
        <f>Z112/E112</f>
        <v>0</v>
      </c>
      <c r="BI112" s="72"/>
      <c r="BJ112" s="72">
        <f t="shared" si="30"/>
        <v>2475.6183333333333</v>
      </c>
    </row>
    <row r="113" spans="1:62" ht="18.75">
      <c r="A113" s="36">
        <v>45732</v>
      </c>
      <c r="B113" s="37" t="s">
        <v>47</v>
      </c>
      <c r="C113" s="72"/>
      <c r="D113" s="39" t="s">
        <v>43</v>
      </c>
      <c r="E113" s="66">
        <v>5</v>
      </c>
      <c r="F113" s="73"/>
      <c r="G113" s="37" t="s">
        <v>78</v>
      </c>
      <c r="H113" s="42">
        <v>5700</v>
      </c>
      <c r="I113" s="72">
        <f t="shared" si="23"/>
        <v>3886.9700000000003</v>
      </c>
      <c r="J113" s="74">
        <f t="shared" si="24"/>
        <v>3272.6279399999999</v>
      </c>
      <c r="K113" s="74">
        <f t="shared" si="25"/>
        <v>1813.0299999999997</v>
      </c>
      <c r="L113" s="74">
        <f t="shared" si="26"/>
        <v>2427.3720600000001</v>
      </c>
      <c r="M113" s="74">
        <f t="shared" si="27"/>
        <v>0.5741452526315789</v>
      </c>
      <c r="N113" s="74">
        <f t="shared" si="28"/>
        <v>0.68192456140350877</v>
      </c>
      <c r="O113" s="75">
        <f t="shared" si="29"/>
        <v>0.18772132709959088</v>
      </c>
      <c r="P113" s="71">
        <f>120+539</f>
        <v>659</v>
      </c>
      <c r="Q113" s="71">
        <v>1159</v>
      </c>
      <c r="R113" s="81"/>
      <c r="S113" s="81"/>
      <c r="T113" s="71">
        <v>2387</v>
      </c>
      <c r="U113" s="71">
        <v>3672</v>
      </c>
      <c r="V113" s="71">
        <f>1869+1874</f>
        <v>3743</v>
      </c>
      <c r="W113" s="71"/>
      <c r="X113" s="71">
        <v>5.71</v>
      </c>
      <c r="Y113" s="71"/>
      <c r="Z113" s="71"/>
      <c r="AA113" s="71"/>
      <c r="AB113" s="71">
        <v>1036</v>
      </c>
      <c r="AC113" s="76">
        <f>IFERROR(AD113/E113,0)</f>
        <v>3272.6279399999999</v>
      </c>
      <c r="AD113" s="77">
        <f t="shared" si="17"/>
        <v>16363.1397</v>
      </c>
      <c r="AE113" s="48">
        <v>320</v>
      </c>
      <c r="AF113" s="78"/>
      <c r="AG113" s="50">
        <v>80</v>
      </c>
      <c r="AH113" s="79"/>
      <c r="AI113" s="50">
        <v>515</v>
      </c>
      <c r="AJ113" s="50">
        <v>780</v>
      </c>
      <c r="AK113" s="50">
        <f>360+300</f>
        <v>660</v>
      </c>
      <c r="AL113" s="76"/>
      <c r="AM113" s="72"/>
      <c r="AN113" s="52">
        <v>2</v>
      </c>
      <c r="AO113" s="50"/>
      <c r="AP113" s="76"/>
      <c r="AQ113" s="52">
        <v>152</v>
      </c>
      <c r="AR113" s="82">
        <f t="shared" si="18"/>
        <v>3886.9700000000003</v>
      </c>
      <c r="AS113" s="83">
        <f>AR113*E113</f>
        <v>19434.850000000002</v>
      </c>
      <c r="AT113" s="74">
        <f t="shared" si="19"/>
        <v>614.3420600000004</v>
      </c>
      <c r="AU113" s="73">
        <f>IFERROR(AT113*E113,0)</f>
        <v>3071.710300000002</v>
      </c>
      <c r="AV113" s="72" t="str">
        <f>D113</f>
        <v>M30</v>
      </c>
      <c r="AW113" s="72">
        <f>P113/E113</f>
        <v>131.80000000000001</v>
      </c>
      <c r="AX113" s="72">
        <f>Q113/E113</f>
        <v>231.8</v>
      </c>
      <c r="AY113" s="72">
        <f>R113/E113</f>
        <v>0</v>
      </c>
      <c r="AZ113" s="72">
        <f>S113/E113</f>
        <v>0</v>
      </c>
      <c r="BA113" s="72">
        <f>T113/E113</f>
        <v>477.4</v>
      </c>
      <c r="BB113" s="72">
        <f>U113/E113</f>
        <v>734.4</v>
      </c>
      <c r="BC113" s="72">
        <f>V113/E113</f>
        <v>748.6</v>
      </c>
      <c r="BD113" s="72"/>
      <c r="BE113" s="72">
        <f>X113/E113</f>
        <v>1.1419999999999999</v>
      </c>
      <c r="BF113" s="72">
        <f>Y113/E113</f>
        <v>0</v>
      </c>
      <c r="BG113" s="72">
        <f>AB113/E113</f>
        <v>207.2</v>
      </c>
      <c r="BH113" s="84">
        <f>Z113/E113</f>
        <v>0</v>
      </c>
      <c r="BI113" s="72"/>
      <c r="BJ113" s="72">
        <f t="shared" si="30"/>
        <v>2532.3419999999996</v>
      </c>
    </row>
    <row r="114" spans="1:62" ht="18.75">
      <c r="A114" s="36">
        <v>45732</v>
      </c>
      <c r="B114" s="37" t="s">
        <v>47</v>
      </c>
      <c r="C114" s="72"/>
      <c r="D114" s="39" t="s">
        <v>43</v>
      </c>
      <c r="E114" s="66">
        <v>11</v>
      </c>
      <c r="F114" s="73"/>
      <c r="G114" s="37" t="s">
        <v>78</v>
      </c>
      <c r="H114" s="42">
        <v>5700</v>
      </c>
      <c r="I114" s="72">
        <f t="shared" si="23"/>
        <v>3886.9700000000003</v>
      </c>
      <c r="J114" s="74">
        <f t="shared" si="24"/>
        <v>3674.5885818181819</v>
      </c>
      <c r="K114" s="74">
        <f t="shared" si="25"/>
        <v>1813.0299999999997</v>
      </c>
      <c r="L114" s="74">
        <f t="shared" si="26"/>
        <v>2025.4114181818181</v>
      </c>
      <c r="M114" s="74">
        <f t="shared" si="27"/>
        <v>0.64466466347687401</v>
      </c>
      <c r="N114" s="74">
        <f t="shared" si="28"/>
        <v>0.68192456140350877</v>
      </c>
      <c r="O114" s="75">
        <f t="shared" si="29"/>
        <v>5.7797332532049626E-2</v>
      </c>
      <c r="P114" s="71">
        <v>2878</v>
      </c>
      <c r="Q114" s="71">
        <v>1562</v>
      </c>
      <c r="R114" s="81"/>
      <c r="S114" s="81"/>
      <c r="T114" s="71">
        <v>5343</v>
      </c>
      <c r="U114" s="71">
        <v>7815</v>
      </c>
      <c r="V114" s="71">
        <f>4018+4020</f>
        <v>8038</v>
      </c>
      <c r="W114" s="71"/>
      <c r="X114" s="71">
        <v>19.82</v>
      </c>
      <c r="Y114" s="71"/>
      <c r="Z114" s="71"/>
      <c r="AA114" s="71"/>
      <c r="AB114" s="71">
        <v>1986</v>
      </c>
      <c r="AC114" s="76">
        <f>IFERROR(AD114/E114,0)</f>
        <v>3674.5885818181819</v>
      </c>
      <c r="AD114" s="77">
        <f t="shared" si="17"/>
        <v>40420.474399999999</v>
      </c>
      <c r="AE114" s="48">
        <v>320</v>
      </c>
      <c r="AF114" s="78"/>
      <c r="AG114" s="50">
        <v>80</v>
      </c>
      <c r="AH114" s="79"/>
      <c r="AI114" s="50">
        <v>515</v>
      </c>
      <c r="AJ114" s="50">
        <v>780</v>
      </c>
      <c r="AK114" s="50">
        <f>360+300</f>
        <v>660</v>
      </c>
      <c r="AL114" s="76"/>
      <c r="AM114" s="72"/>
      <c r="AN114" s="52">
        <v>2</v>
      </c>
      <c r="AO114" s="50"/>
      <c r="AP114" s="76"/>
      <c r="AQ114" s="52">
        <v>152</v>
      </c>
      <c r="AR114" s="82">
        <f t="shared" si="18"/>
        <v>3886.9700000000003</v>
      </c>
      <c r="AS114" s="83">
        <f>AR114*E114</f>
        <v>42756.670000000006</v>
      </c>
      <c r="AT114" s="74">
        <f t="shared" si="19"/>
        <v>212.38141818181839</v>
      </c>
      <c r="AU114" s="73">
        <f>IFERROR(AT114*E114,0)</f>
        <v>2336.1956000000023</v>
      </c>
      <c r="AV114" s="72" t="str">
        <f>D114</f>
        <v>M30</v>
      </c>
      <c r="AW114" s="72">
        <f>P114/E114</f>
        <v>261.63636363636363</v>
      </c>
      <c r="AX114" s="72">
        <f>Q114/E114</f>
        <v>142</v>
      </c>
      <c r="AY114" s="72">
        <f>R114/E114</f>
        <v>0</v>
      </c>
      <c r="AZ114" s="72">
        <f>S114/E114</f>
        <v>0</v>
      </c>
      <c r="BA114" s="72">
        <f>T114/E114</f>
        <v>485.72727272727275</v>
      </c>
      <c r="BB114" s="72">
        <f>U114/E114</f>
        <v>710.4545454545455</v>
      </c>
      <c r="BC114" s="72">
        <f>V114/E114</f>
        <v>730.72727272727275</v>
      </c>
      <c r="BD114" s="72"/>
      <c r="BE114" s="72">
        <f>X114/E114</f>
        <v>1.8018181818181818</v>
      </c>
      <c r="BF114" s="72">
        <f>Y114/E114</f>
        <v>0</v>
      </c>
      <c r="BG114" s="72">
        <f>AB114/E114</f>
        <v>180.54545454545453</v>
      </c>
      <c r="BH114" s="84">
        <f>Z114/E114</f>
        <v>0</v>
      </c>
      <c r="BI114" s="72"/>
      <c r="BJ114" s="72">
        <f t="shared" si="30"/>
        <v>2512.8927272727278</v>
      </c>
    </row>
    <row r="115" spans="1:62" ht="18.75">
      <c r="A115" s="36">
        <v>45732</v>
      </c>
      <c r="B115" s="37" t="s">
        <v>96</v>
      </c>
      <c r="C115" s="72"/>
      <c r="D115" s="39" t="s">
        <v>43</v>
      </c>
      <c r="E115" s="66">
        <v>17</v>
      </c>
      <c r="F115" s="73"/>
      <c r="G115" s="37" t="s">
        <v>97</v>
      </c>
      <c r="H115" s="42">
        <v>6355.93</v>
      </c>
      <c r="I115" s="72">
        <f t="shared" si="23"/>
        <v>4023.5850000000005</v>
      </c>
      <c r="J115" s="74">
        <f t="shared" si="24"/>
        <v>3551.0087318181822</v>
      </c>
      <c r="K115" s="74">
        <f t="shared" si="25"/>
        <v>2332.3449999999998</v>
      </c>
      <c r="L115" s="74">
        <f t="shared" si="26"/>
        <v>2804.921268181818</v>
      </c>
      <c r="M115" s="74">
        <f t="shared" si="27"/>
        <v>0.55869223415270186</v>
      </c>
      <c r="N115" s="74">
        <f t="shared" si="28"/>
        <v>0.63304425945534337</v>
      </c>
      <c r="O115" s="75">
        <f t="shared" si="29"/>
        <v>0.13308226024548536</v>
      </c>
      <c r="P115" s="71">
        <v>4272.409090909091</v>
      </c>
      <c r="Q115" s="71">
        <v>1887.7727272727273</v>
      </c>
      <c r="R115" s="71"/>
      <c r="S115" s="71"/>
      <c r="T115" s="71">
        <v>8466.7727272727279</v>
      </c>
      <c r="U115" s="71">
        <v>12532.090909090908</v>
      </c>
      <c r="V115" s="71">
        <v>12302.590909090908</v>
      </c>
      <c r="W115" s="71"/>
      <c r="X115" s="71">
        <v>29.386818181818185</v>
      </c>
      <c r="Y115" s="71"/>
      <c r="Z115" s="71"/>
      <c r="AA115" s="71"/>
      <c r="AB115" s="71">
        <v>2944.863636363636</v>
      </c>
      <c r="AC115" s="76">
        <f>IFERROR(AD115/E115,0)</f>
        <v>3551.0087318181822</v>
      </c>
      <c r="AD115" s="77">
        <f t="shared" si="17"/>
        <v>60367.148440909099</v>
      </c>
      <c r="AE115" s="48">
        <v>420</v>
      </c>
      <c r="AF115" s="78"/>
      <c r="AG115" s="50">
        <v>0</v>
      </c>
      <c r="AH115" s="79"/>
      <c r="AI115" s="50">
        <v>575</v>
      </c>
      <c r="AJ115" s="50">
        <v>575</v>
      </c>
      <c r="AK115" s="50">
        <f>365+300</f>
        <v>665</v>
      </c>
      <c r="AL115" s="76"/>
      <c r="AM115" s="72"/>
      <c r="AN115" s="52"/>
      <c r="AO115" s="50">
        <v>3</v>
      </c>
      <c r="AP115" s="76"/>
      <c r="AQ115" s="52">
        <v>215</v>
      </c>
      <c r="AR115" s="82">
        <f t="shared" si="18"/>
        <v>4023.5850000000005</v>
      </c>
      <c r="AS115" s="83">
        <f>AR115*E115</f>
        <v>68400.945000000007</v>
      </c>
      <c r="AT115" s="74">
        <f t="shared" si="19"/>
        <v>472.57626818181825</v>
      </c>
      <c r="AU115" s="73">
        <f>IFERROR(AT115*E115,0)</f>
        <v>8033.7965590909098</v>
      </c>
      <c r="AV115" s="72" t="str">
        <f>D115</f>
        <v>M30</v>
      </c>
      <c r="AW115" s="72">
        <f>P115/E115</f>
        <v>251.31818181818181</v>
      </c>
      <c r="AX115" s="72">
        <f>Q115/E115</f>
        <v>111.04545454545455</v>
      </c>
      <c r="AY115" s="72">
        <f>R115/E115</f>
        <v>0</v>
      </c>
      <c r="AZ115" s="72">
        <f>S115/E115</f>
        <v>0</v>
      </c>
      <c r="BA115" s="72">
        <f>T115/E115</f>
        <v>498.04545454545456</v>
      </c>
      <c r="BB115" s="72">
        <f>U115/E115</f>
        <v>737.18181818181813</v>
      </c>
      <c r="BC115" s="72">
        <f>V115/E115</f>
        <v>723.68181818181813</v>
      </c>
      <c r="BD115" s="72"/>
      <c r="BE115" s="72">
        <f>X115/E115</f>
        <v>1.7286363636363637</v>
      </c>
      <c r="BF115" s="72">
        <f>Y115/E115</f>
        <v>0</v>
      </c>
      <c r="BG115" s="72">
        <f>AB115/E115</f>
        <v>173.22727272727272</v>
      </c>
      <c r="BH115" s="84">
        <f>Z115/E115</f>
        <v>0</v>
      </c>
      <c r="BI115" s="72"/>
      <c r="BJ115" s="72">
        <f t="shared" si="30"/>
        <v>2496.2286363636358</v>
      </c>
    </row>
    <row r="116" spans="1:62" ht="18.75">
      <c r="A116" s="36">
        <v>45732</v>
      </c>
      <c r="B116" s="37" t="s">
        <v>52</v>
      </c>
      <c r="C116" s="72"/>
      <c r="D116" s="39" t="s">
        <v>43</v>
      </c>
      <c r="E116" s="40">
        <v>5</v>
      </c>
      <c r="F116" s="73"/>
      <c r="G116" s="37" t="s">
        <v>53</v>
      </c>
      <c r="H116" s="42">
        <v>6000</v>
      </c>
      <c r="I116" s="72">
        <f t="shared" si="23"/>
        <v>4155.9520000000002</v>
      </c>
      <c r="J116" s="74">
        <f t="shared" si="24"/>
        <v>3551.0087318181818</v>
      </c>
      <c r="K116" s="74">
        <f t="shared" si="25"/>
        <v>1844.0479999999998</v>
      </c>
      <c r="L116" s="74">
        <f t="shared" si="26"/>
        <v>2448.9912681818182</v>
      </c>
      <c r="M116" s="74">
        <f t="shared" si="27"/>
        <v>0.59183478863636363</v>
      </c>
      <c r="N116" s="74">
        <f t="shared" si="28"/>
        <v>0.69265866666666676</v>
      </c>
      <c r="O116" s="75">
        <f t="shared" si="29"/>
        <v>0.17035814718261102</v>
      </c>
      <c r="P116" s="71">
        <v>1256.590909090909</v>
      </c>
      <c r="Q116" s="71">
        <v>555.22727272727275</v>
      </c>
      <c r="R116" s="71"/>
      <c r="S116" s="71"/>
      <c r="T116" s="71">
        <v>2490.227272727273</v>
      </c>
      <c r="U116" s="71">
        <v>3685.9090909090905</v>
      </c>
      <c r="V116" s="71">
        <v>3618.4090909090905</v>
      </c>
      <c r="W116" s="71"/>
      <c r="X116" s="71">
        <v>8.6431818181818194</v>
      </c>
      <c r="Y116" s="71"/>
      <c r="Z116" s="71"/>
      <c r="AA116" s="71"/>
      <c r="AB116" s="71">
        <v>866.13636363636363</v>
      </c>
      <c r="AC116" s="76">
        <f>IFERROR(AD116/E116,0)</f>
        <v>3551.0087318181818</v>
      </c>
      <c r="AD116" s="77">
        <f t="shared" si="17"/>
        <v>17755.043659090908</v>
      </c>
      <c r="AE116" s="48">
        <v>410</v>
      </c>
      <c r="AF116" s="78"/>
      <c r="AG116" s="50">
        <v>0</v>
      </c>
      <c r="AH116" s="79"/>
      <c r="AI116" s="50">
        <v>484</v>
      </c>
      <c r="AJ116" s="50">
        <v>724</v>
      </c>
      <c r="AK116" s="50">
        <v>727</v>
      </c>
      <c r="AL116" s="76"/>
      <c r="AM116" s="72"/>
      <c r="AN116" s="52">
        <v>2.78</v>
      </c>
      <c r="AO116" s="50"/>
      <c r="AP116" s="76"/>
      <c r="AQ116" s="52">
        <v>156</v>
      </c>
      <c r="AR116" s="82">
        <f t="shared" si="18"/>
        <v>4155.9520000000002</v>
      </c>
      <c r="AS116" s="83">
        <f>AR116*E116</f>
        <v>20779.760000000002</v>
      </c>
      <c r="AT116" s="74">
        <f t="shared" si="19"/>
        <v>604.94326818181844</v>
      </c>
      <c r="AU116" s="73">
        <f>IFERROR(AT116*E116,0)</f>
        <v>3024.7163409090922</v>
      </c>
      <c r="AV116" s="72" t="str">
        <f>D116</f>
        <v>M30</v>
      </c>
      <c r="AW116" s="72">
        <f>P116/E116</f>
        <v>251.31818181818181</v>
      </c>
      <c r="AX116" s="72">
        <f>Q116/E116</f>
        <v>111.04545454545455</v>
      </c>
      <c r="AY116" s="72">
        <f>R116/E116</f>
        <v>0</v>
      </c>
      <c r="AZ116" s="72">
        <f>S116/E116</f>
        <v>0</v>
      </c>
      <c r="BA116" s="72">
        <f>T116/E116</f>
        <v>498.04545454545462</v>
      </c>
      <c r="BB116" s="72">
        <f>U116/E116</f>
        <v>737.18181818181813</v>
      </c>
      <c r="BC116" s="72">
        <f>V116/E116</f>
        <v>723.68181818181813</v>
      </c>
      <c r="BD116" s="72"/>
      <c r="BE116" s="72">
        <f>X116/E116</f>
        <v>1.728636363636364</v>
      </c>
      <c r="BF116" s="72">
        <f>Y116/E116</f>
        <v>0</v>
      </c>
      <c r="BG116" s="72">
        <f>AB116/E116</f>
        <v>173.22727272727272</v>
      </c>
      <c r="BH116" s="84">
        <f>Z116/E116</f>
        <v>0</v>
      </c>
      <c r="BI116" s="72"/>
      <c r="BJ116" s="72">
        <f t="shared" si="30"/>
        <v>2496.2286363636358</v>
      </c>
    </row>
    <row r="117" spans="1:62" ht="18.75">
      <c r="A117" s="36">
        <v>45733</v>
      </c>
      <c r="B117" s="37" t="s">
        <v>45</v>
      </c>
      <c r="C117" s="72"/>
      <c r="D117" s="39" t="s">
        <v>34</v>
      </c>
      <c r="E117" s="66">
        <v>3</v>
      </c>
      <c r="F117" s="73"/>
      <c r="G117" s="37" t="s">
        <v>69</v>
      </c>
      <c r="H117" s="42">
        <v>5400</v>
      </c>
      <c r="I117" s="72">
        <f t="shared" si="23"/>
        <v>3440.3942000000006</v>
      </c>
      <c r="J117" s="74">
        <f t="shared" si="24"/>
        <v>3048.3453333333332</v>
      </c>
      <c r="K117" s="74">
        <f t="shared" si="25"/>
        <v>1959.6057999999994</v>
      </c>
      <c r="L117" s="74">
        <f t="shared" si="26"/>
        <v>2351.6546666666668</v>
      </c>
      <c r="M117" s="74">
        <f t="shared" si="27"/>
        <v>0.56450839506172834</v>
      </c>
      <c r="N117" s="74">
        <f t="shared" si="28"/>
        <v>0.63711003703703717</v>
      </c>
      <c r="O117" s="75">
        <f t="shared" si="29"/>
        <v>0.12861038491264584</v>
      </c>
      <c r="P117" s="71">
        <v>396</v>
      </c>
      <c r="Q117" s="71">
        <v>393</v>
      </c>
      <c r="R117" s="71"/>
      <c r="S117" s="71"/>
      <c r="T117" s="71">
        <v>1401</v>
      </c>
      <c r="U117" s="71">
        <v>2027</v>
      </c>
      <c r="V117" s="71">
        <f>1378+1379</f>
        <v>2757</v>
      </c>
      <c r="W117" s="71"/>
      <c r="X117" s="71">
        <v>3</v>
      </c>
      <c r="Y117" s="71"/>
      <c r="Z117" s="71"/>
      <c r="AA117" s="71"/>
      <c r="AB117" s="71">
        <v>512</v>
      </c>
      <c r="AC117" s="76">
        <f>IFERROR(AD117/E117,0)</f>
        <v>3048.3453333333332</v>
      </c>
      <c r="AD117" s="77">
        <f t="shared" si="17"/>
        <v>9145.0360000000001</v>
      </c>
      <c r="AE117" s="48">
        <v>280</v>
      </c>
      <c r="AF117" s="78"/>
      <c r="AG117" s="50">
        <v>0</v>
      </c>
      <c r="AH117" s="79"/>
      <c r="AI117" s="50">
        <v>480</v>
      </c>
      <c r="AJ117" s="50">
        <v>715</v>
      </c>
      <c r="AK117" s="50">
        <f>440+400</f>
        <v>840</v>
      </c>
      <c r="AL117" s="76"/>
      <c r="AM117" s="72"/>
      <c r="AN117" s="50"/>
      <c r="AO117" s="50">
        <v>1.96</v>
      </c>
      <c r="AP117" s="76"/>
      <c r="AQ117" s="52">
        <v>160</v>
      </c>
      <c r="AR117" s="82">
        <f t="shared" si="18"/>
        <v>3440.3942000000006</v>
      </c>
      <c r="AS117" s="83">
        <f>AR117*E117</f>
        <v>10321.182600000002</v>
      </c>
      <c r="AT117" s="74">
        <f t="shared" si="19"/>
        <v>392.04886666666744</v>
      </c>
      <c r="AU117" s="73">
        <f>IFERROR(AT117*E117,0)</f>
        <v>1176.1466000000023</v>
      </c>
      <c r="AV117" s="72" t="str">
        <f>D117</f>
        <v>M15</v>
      </c>
      <c r="AW117" s="72">
        <f>P117/E117</f>
        <v>132</v>
      </c>
      <c r="AX117" s="72">
        <f>Q117/E117</f>
        <v>131</v>
      </c>
      <c r="AY117" s="72">
        <f>R117/E117</f>
        <v>0</v>
      </c>
      <c r="AZ117" s="72">
        <f>S117/E117</f>
        <v>0</v>
      </c>
      <c r="BA117" s="72">
        <f>T117/E117</f>
        <v>467</v>
      </c>
      <c r="BB117" s="72">
        <f>U117/E117</f>
        <v>675.66666666666663</v>
      </c>
      <c r="BC117" s="72">
        <f>V117/E117</f>
        <v>919</v>
      </c>
      <c r="BD117" s="72"/>
      <c r="BE117" s="72">
        <f>X117/E117</f>
        <v>1</v>
      </c>
      <c r="BF117" s="72">
        <f>Y117/E117</f>
        <v>0</v>
      </c>
      <c r="BG117" s="72">
        <f>AB117/E117</f>
        <v>170.66666666666666</v>
      </c>
      <c r="BH117" s="84">
        <f>Z117/E117</f>
        <v>0</v>
      </c>
      <c r="BI117" s="72"/>
      <c r="BJ117" s="72">
        <f t="shared" si="30"/>
        <v>2496.333333333333</v>
      </c>
    </row>
    <row r="118" spans="1:62" ht="18.75">
      <c r="A118" s="36">
        <v>45733</v>
      </c>
      <c r="B118" s="37" t="s">
        <v>36</v>
      </c>
      <c r="C118" s="72"/>
      <c r="D118" s="39" t="s">
        <v>43</v>
      </c>
      <c r="E118" s="66">
        <v>5</v>
      </c>
      <c r="F118" s="73"/>
      <c r="G118" s="37" t="s">
        <v>59</v>
      </c>
      <c r="H118" s="42">
        <v>5900</v>
      </c>
      <c r="I118" s="72">
        <f t="shared" si="23"/>
        <v>3627.3514</v>
      </c>
      <c r="J118" s="74">
        <f t="shared" si="24"/>
        <v>3289.2138800000002</v>
      </c>
      <c r="K118" s="74">
        <f t="shared" si="25"/>
        <v>2272.6486</v>
      </c>
      <c r="L118" s="74">
        <f t="shared" si="26"/>
        <v>2610.7861199999998</v>
      </c>
      <c r="M118" s="74">
        <f t="shared" si="27"/>
        <v>0.55749387796610173</v>
      </c>
      <c r="N118" s="74">
        <f t="shared" si="28"/>
        <v>0.61480532203389826</v>
      </c>
      <c r="O118" s="75">
        <f t="shared" si="29"/>
        <v>0.10280192542541489</v>
      </c>
      <c r="P118" s="71">
        <v>650</v>
      </c>
      <c r="Q118" s="71">
        <v>1152</v>
      </c>
      <c r="R118" s="81"/>
      <c r="S118" s="81"/>
      <c r="T118" s="71">
        <v>2439</v>
      </c>
      <c r="U118" s="71">
        <v>3663</v>
      </c>
      <c r="V118" s="71">
        <f>1894+1911</f>
        <v>3805</v>
      </c>
      <c r="W118" s="71"/>
      <c r="X118" s="71">
        <v>7.52</v>
      </c>
      <c r="Y118" s="71"/>
      <c r="Z118" s="71"/>
      <c r="AA118" s="71"/>
      <c r="AB118" s="71">
        <v>797</v>
      </c>
      <c r="AC118" s="76">
        <f>IFERROR(AD118/E118,0)</f>
        <v>3289.2138800000002</v>
      </c>
      <c r="AD118" s="77">
        <f t="shared" si="17"/>
        <v>16446.0694</v>
      </c>
      <c r="AE118" s="48">
        <v>252</v>
      </c>
      <c r="AF118" s="78"/>
      <c r="AG118" s="50">
        <v>108</v>
      </c>
      <c r="AH118" s="79"/>
      <c r="AI118" s="50">
        <v>495</v>
      </c>
      <c r="AJ118" s="50">
        <v>743</v>
      </c>
      <c r="AK118" s="50">
        <f>300+475</f>
        <v>775</v>
      </c>
      <c r="AL118" s="76"/>
      <c r="AM118" s="72"/>
      <c r="AN118" s="52"/>
      <c r="AO118" s="50">
        <v>2.52</v>
      </c>
      <c r="AP118" s="76"/>
      <c r="AQ118" s="52">
        <v>150</v>
      </c>
      <c r="AR118" s="82">
        <f t="shared" si="18"/>
        <v>3627.3514</v>
      </c>
      <c r="AS118" s="83">
        <f>AR118*E118</f>
        <v>18136.757000000001</v>
      </c>
      <c r="AT118" s="74">
        <f t="shared" si="19"/>
        <v>338.13751999999977</v>
      </c>
      <c r="AU118" s="73">
        <f>IFERROR(AT118*E118,0)</f>
        <v>1690.6875999999988</v>
      </c>
      <c r="AV118" s="72" t="str">
        <f>D118</f>
        <v>M30</v>
      </c>
      <c r="AW118" s="72">
        <f>P118/E118</f>
        <v>130</v>
      </c>
      <c r="AX118" s="72">
        <f>Q118/E118</f>
        <v>230.4</v>
      </c>
      <c r="AY118" s="72">
        <f>R118/E118</f>
        <v>0</v>
      </c>
      <c r="AZ118" s="72">
        <f>S118/E118</f>
        <v>0</v>
      </c>
      <c r="BA118" s="72">
        <f>T118/E118</f>
        <v>487.8</v>
      </c>
      <c r="BB118" s="72">
        <f>U118/E118</f>
        <v>732.6</v>
      </c>
      <c r="BC118" s="72">
        <f>V118/E118</f>
        <v>761</v>
      </c>
      <c r="BD118" s="72"/>
      <c r="BE118" s="72">
        <f>X118/E118</f>
        <v>1.504</v>
      </c>
      <c r="BF118" s="72">
        <f>Y118/E118</f>
        <v>0</v>
      </c>
      <c r="BG118" s="72">
        <f>AB118/E118</f>
        <v>159.4</v>
      </c>
      <c r="BH118" s="84">
        <f>Z118/E118</f>
        <v>0</v>
      </c>
      <c r="BI118" s="72"/>
      <c r="BJ118" s="72">
        <f t="shared" si="30"/>
        <v>2502.7040000000002</v>
      </c>
    </row>
    <row r="119" spans="1:62" ht="18.75">
      <c r="A119" s="36">
        <v>45733</v>
      </c>
      <c r="B119" s="37" t="s">
        <v>76</v>
      </c>
      <c r="C119" s="72"/>
      <c r="D119" s="39" t="s">
        <v>43</v>
      </c>
      <c r="E119" s="40">
        <v>6</v>
      </c>
      <c r="F119" s="73"/>
      <c r="G119" s="37" t="s">
        <v>77</v>
      </c>
      <c r="H119" s="42">
        <v>5800</v>
      </c>
      <c r="I119" s="72">
        <f t="shared" si="23"/>
        <v>3611.0944</v>
      </c>
      <c r="J119" s="74">
        <f t="shared" si="24"/>
        <v>3548.761586666667</v>
      </c>
      <c r="K119" s="74">
        <f t="shared" si="25"/>
        <v>2188.9056</v>
      </c>
      <c r="L119" s="74">
        <f t="shared" si="26"/>
        <v>2251.238413333333</v>
      </c>
      <c r="M119" s="74">
        <f t="shared" si="27"/>
        <v>0.61185544597701158</v>
      </c>
      <c r="N119" s="74">
        <f t="shared" si="28"/>
        <v>0.62260248275862073</v>
      </c>
      <c r="O119" s="75">
        <f t="shared" si="29"/>
        <v>1.7564666380387072E-2</v>
      </c>
      <c r="P119" s="71">
        <v>1505.2</v>
      </c>
      <c r="Q119" s="71">
        <v>665.4666666666667</v>
      </c>
      <c r="R119" s="81"/>
      <c r="S119" s="81"/>
      <c r="T119" s="71">
        <v>2979.8666666666668</v>
      </c>
      <c r="U119" s="71">
        <v>4427.5999999999995</v>
      </c>
      <c r="V119" s="71">
        <v>4351.8666666666668</v>
      </c>
      <c r="W119" s="71"/>
      <c r="X119" s="71">
        <v>10.429333333333332</v>
      </c>
      <c r="Y119" s="71"/>
      <c r="Z119" s="71"/>
      <c r="AA119" s="71"/>
      <c r="AB119" s="71">
        <v>991.73333333333335</v>
      </c>
      <c r="AC119" s="76">
        <f>IFERROR(AD119/E119,0)</f>
        <v>3548.761586666667</v>
      </c>
      <c r="AD119" s="77">
        <f t="shared" si="17"/>
        <v>21292.569520000001</v>
      </c>
      <c r="AE119" s="50">
        <v>252</v>
      </c>
      <c r="AF119" s="78"/>
      <c r="AG119" s="50">
        <v>108</v>
      </c>
      <c r="AH119" s="79"/>
      <c r="AI119" s="50">
        <v>525</v>
      </c>
      <c r="AJ119" s="50">
        <v>760</v>
      </c>
      <c r="AK119" s="50">
        <f t="shared" ref="AK119" si="31">350+360</f>
        <v>710</v>
      </c>
      <c r="AL119" s="76"/>
      <c r="AM119" s="72"/>
      <c r="AN119" s="50"/>
      <c r="AO119" s="50">
        <v>2.52</v>
      </c>
      <c r="AP119" s="76"/>
      <c r="AQ119" s="52">
        <v>155</v>
      </c>
      <c r="AR119" s="82">
        <f t="shared" si="18"/>
        <v>3611.0944</v>
      </c>
      <c r="AS119" s="83">
        <f>AR119*E119</f>
        <v>21666.5664</v>
      </c>
      <c r="AT119" s="74">
        <f t="shared" si="19"/>
        <v>62.332813333332979</v>
      </c>
      <c r="AU119" s="73">
        <f>IFERROR(AT119*E119,0)</f>
        <v>373.99687999999787</v>
      </c>
      <c r="AV119" s="72" t="str">
        <f>D119</f>
        <v>M30</v>
      </c>
      <c r="AW119" s="72">
        <f>P119/E119</f>
        <v>250.86666666666667</v>
      </c>
      <c r="AX119" s="72">
        <f>Q119/E119</f>
        <v>110.91111111111111</v>
      </c>
      <c r="AY119" s="72">
        <f>R119/E119</f>
        <v>0</v>
      </c>
      <c r="AZ119" s="72">
        <f>S119/E119</f>
        <v>0</v>
      </c>
      <c r="BA119" s="72">
        <f>T119/E119</f>
        <v>496.64444444444445</v>
      </c>
      <c r="BB119" s="72">
        <f>U119/E119</f>
        <v>737.93333333333328</v>
      </c>
      <c r="BC119" s="72">
        <f>V119/E119</f>
        <v>725.31111111111113</v>
      </c>
      <c r="BD119" s="72"/>
      <c r="BE119" s="72">
        <f>X119/E119</f>
        <v>1.7382222222222221</v>
      </c>
      <c r="BF119" s="72">
        <f>Y119/E119</f>
        <v>0</v>
      </c>
      <c r="BG119" s="72">
        <f>AB119/E119</f>
        <v>165.28888888888889</v>
      </c>
      <c r="BH119" s="84">
        <f>Z119/E119</f>
        <v>0</v>
      </c>
      <c r="BI119" s="72"/>
      <c r="BJ119" s="72">
        <f t="shared" si="30"/>
        <v>2488.6937777777775</v>
      </c>
    </row>
    <row r="120" spans="1:62" ht="18.75">
      <c r="A120" s="36">
        <v>45733</v>
      </c>
      <c r="B120" s="37" t="s">
        <v>45</v>
      </c>
      <c r="C120" s="72"/>
      <c r="D120" s="39" t="s">
        <v>43</v>
      </c>
      <c r="E120" s="66">
        <v>39</v>
      </c>
      <c r="F120" s="73"/>
      <c r="G120" s="37" t="s">
        <v>46</v>
      </c>
      <c r="H120" s="42">
        <v>6000</v>
      </c>
      <c r="I120" s="72">
        <f t="shared" si="23"/>
        <v>4033.4050000000002</v>
      </c>
      <c r="J120" s="74">
        <f t="shared" si="24"/>
        <v>3548.761586666667</v>
      </c>
      <c r="K120" s="74">
        <f t="shared" si="25"/>
        <v>1966.5949999999998</v>
      </c>
      <c r="L120" s="74">
        <f t="shared" si="26"/>
        <v>2451.238413333333</v>
      </c>
      <c r="M120" s="74">
        <f t="shared" si="27"/>
        <v>0.59146026444444455</v>
      </c>
      <c r="N120" s="74">
        <f t="shared" si="28"/>
        <v>0.67223416666666669</v>
      </c>
      <c r="O120" s="75">
        <f t="shared" si="29"/>
        <v>0.13656691256866196</v>
      </c>
      <c r="P120" s="71">
        <v>9783.8000000000011</v>
      </c>
      <c r="Q120" s="71">
        <v>4325.5333333333338</v>
      </c>
      <c r="R120" s="81"/>
      <c r="S120" s="81"/>
      <c r="T120" s="71">
        <v>19369.133333333335</v>
      </c>
      <c r="U120" s="71">
        <v>28779.399999999998</v>
      </c>
      <c r="V120" s="71">
        <v>28287.133333333335</v>
      </c>
      <c r="W120" s="71"/>
      <c r="X120" s="71">
        <v>67.790666666666667</v>
      </c>
      <c r="Y120" s="71"/>
      <c r="Z120" s="71"/>
      <c r="AA120" s="71"/>
      <c r="AB120" s="71">
        <v>6446.2666666666664</v>
      </c>
      <c r="AC120" s="76">
        <f>IFERROR(AD120/E120,0)</f>
        <v>3548.761586666667</v>
      </c>
      <c r="AD120" s="77">
        <f t="shared" si="17"/>
        <v>138401.70188000001</v>
      </c>
      <c r="AE120" s="48">
        <v>380</v>
      </c>
      <c r="AF120" s="78"/>
      <c r="AG120" s="50">
        <v>0</v>
      </c>
      <c r="AH120" s="79"/>
      <c r="AI120" s="50">
        <v>495</v>
      </c>
      <c r="AJ120" s="50">
        <v>745</v>
      </c>
      <c r="AK120" s="50">
        <f>380+380</f>
        <v>760</v>
      </c>
      <c r="AL120" s="76"/>
      <c r="AM120" s="72"/>
      <c r="AN120" s="50">
        <v>2.4700000000000002</v>
      </c>
      <c r="AO120" s="50"/>
      <c r="AP120" s="76"/>
      <c r="AQ120" s="52">
        <v>144</v>
      </c>
      <c r="AR120" s="82">
        <f t="shared" si="18"/>
        <v>4033.4050000000002</v>
      </c>
      <c r="AS120" s="83">
        <f>AR120*E120</f>
        <v>157302.79500000001</v>
      </c>
      <c r="AT120" s="74">
        <f t="shared" si="19"/>
        <v>484.64341333333323</v>
      </c>
      <c r="AU120" s="73">
        <f>IFERROR(AT120*E120,0)</f>
        <v>18901.093119999998</v>
      </c>
      <c r="AV120" s="72" t="str">
        <f>D120</f>
        <v>M30</v>
      </c>
      <c r="AW120" s="72">
        <f>P120/E120</f>
        <v>250.8666666666667</v>
      </c>
      <c r="AX120" s="72">
        <f>Q120/E120</f>
        <v>110.91111111111113</v>
      </c>
      <c r="AY120" s="72">
        <f>R120/E120</f>
        <v>0</v>
      </c>
      <c r="AZ120" s="72">
        <f>S120/E120</f>
        <v>0</v>
      </c>
      <c r="BA120" s="72">
        <f>T120/E120</f>
        <v>496.6444444444445</v>
      </c>
      <c r="BB120" s="72">
        <f>U120/E120</f>
        <v>737.93333333333328</v>
      </c>
      <c r="BC120" s="72">
        <f>V120/E120</f>
        <v>725.31111111111113</v>
      </c>
      <c r="BD120" s="72"/>
      <c r="BE120" s="72">
        <f>X120/E120</f>
        <v>1.7382222222222221</v>
      </c>
      <c r="BF120" s="72">
        <f>Y120/E120</f>
        <v>0</v>
      </c>
      <c r="BG120" s="72">
        <f>AB120/E120</f>
        <v>165.28888888888889</v>
      </c>
      <c r="BH120" s="84">
        <f>Z120/E120</f>
        <v>0</v>
      </c>
      <c r="BI120" s="72"/>
      <c r="BJ120" s="72">
        <f t="shared" si="30"/>
        <v>2488.693777777778</v>
      </c>
    </row>
    <row r="121" spans="1:62" ht="18.75">
      <c r="A121" s="36">
        <v>45734</v>
      </c>
      <c r="B121" s="37" t="s">
        <v>60</v>
      </c>
      <c r="C121" s="72"/>
      <c r="D121" s="39" t="s">
        <v>31</v>
      </c>
      <c r="E121" s="40">
        <v>8</v>
      </c>
      <c r="F121" s="73"/>
      <c r="G121" s="37" t="s">
        <v>32</v>
      </c>
      <c r="H121" s="42">
        <v>5200</v>
      </c>
      <c r="I121" s="72">
        <f t="shared" si="23"/>
        <v>3003.4838000000004</v>
      </c>
      <c r="J121" s="74">
        <f t="shared" si="24"/>
        <v>2753.0965999999999</v>
      </c>
      <c r="K121" s="74">
        <f t="shared" si="25"/>
        <v>2196.5161999999996</v>
      </c>
      <c r="L121" s="74">
        <f t="shared" si="26"/>
        <v>2446.9034000000001</v>
      </c>
      <c r="M121" s="74">
        <f t="shared" si="27"/>
        <v>0.52944165384615383</v>
      </c>
      <c r="N121" s="74">
        <f t="shared" si="28"/>
        <v>0.57759303846153853</v>
      </c>
      <c r="O121" s="75">
        <f t="shared" si="29"/>
        <v>9.0947480738598305E-2</v>
      </c>
      <c r="P121" s="71">
        <v>492</v>
      </c>
      <c r="Q121" s="71">
        <v>809</v>
      </c>
      <c r="R121" s="81"/>
      <c r="S121" s="81"/>
      <c r="T121" s="71">
        <v>3374</v>
      </c>
      <c r="U121" s="71">
        <v>6046</v>
      </c>
      <c r="V121" s="71">
        <f>4319+4258</f>
        <v>8577</v>
      </c>
      <c r="W121" s="71"/>
      <c r="X121" s="71">
        <v>6.54</v>
      </c>
      <c r="Y121" s="71"/>
      <c r="Z121" s="71"/>
      <c r="AA121" s="71"/>
      <c r="AB121" s="71">
        <v>1466</v>
      </c>
      <c r="AC121" s="76">
        <f>IFERROR(AD121/E121,0)</f>
        <v>2753.0965999999999</v>
      </c>
      <c r="AD121" s="77">
        <f t="shared" si="17"/>
        <v>22024.772799999999</v>
      </c>
      <c r="AE121" s="48">
        <v>154</v>
      </c>
      <c r="AF121" s="78"/>
      <c r="AG121" s="50">
        <v>66</v>
      </c>
      <c r="AH121" s="79"/>
      <c r="AI121" s="50">
        <v>480</v>
      </c>
      <c r="AJ121" s="50">
        <v>700</v>
      </c>
      <c r="AK121" s="50">
        <f>450+450</f>
        <v>900</v>
      </c>
      <c r="AL121" s="76"/>
      <c r="AM121" s="72"/>
      <c r="AN121" s="50"/>
      <c r="AO121" s="50">
        <v>1.54</v>
      </c>
      <c r="AP121" s="76"/>
      <c r="AQ121" s="52">
        <v>154</v>
      </c>
      <c r="AR121" s="82">
        <f t="shared" si="18"/>
        <v>3003.4838000000004</v>
      </c>
      <c r="AS121" s="83">
        <f>AR121*E121</f>
        <v>24027.870400000003</v>
      </c>
      <c r="AT121" s="74">
        <f t="shared" si="19"/>
        <v>250.38720000000058</v>
      </c>
      <c r="AU121" s="73">
        <f>IFERROR(AT121*E121,0)</f>
        <v>2003.0976000000046</v>
      </c>
      <c r="AV121" s="72" t="str">
        <f>D121</f>
        <v>M10</v>
      </c>
      <c r="AW121" s="72">
        <f>P121/E121</f>
        <v>61.5</v>
      </c>
      <c r="AX121" s="72">
        <f>Q121/E121</f>
        <v>101.125</v>
      </c>
      <c r="AY121" s="72">
        <f>R121/E121</f>
        <v>0</v>
      </c>
      <c r="AZ121" s="72">
        <f>S121/E121</f>
        <v>0</v>
      </c>
      <c r="BA121" s="72">
        <f>T121/E121</f>
        <v>421.75</v>
      </c>
      <c r="BB121" s="72">
        <f>U121/E121</f>
        <v>755.75</v>
      </c>
      <c r="BC121" s="72">
        <f>V121/E121</f>
        <v>1072.125</v>
      </c>
      <c r="BD121" s="72"/>
      <c r="BE121" s="72">
        <f>X121/E121</f>
        <v>0.8175</v>
      </c>
      <c r="BF121" s="72">
        <f>Y121/E121</f>
        <v>0</v>
      </c>
      <c r="BG121" s="72">
        <f>AB121/E121</f>
        <v>183.25</v>
      </c>
      <c r="BH121" s="84">
        <f>Z121/E121</f>
        <v>0</v>
      </c>
      <c r="BI121" s="72"/>
      <c r="BJ121" s="72">
        <f t="shared" si="30"/>
        <v>2596.3175000000001</v>
      </c>
    </row>
    <row r="122" spans="1:62" ht="18.75">
      <c r="A122" s="36">
        <v>45734</v>
      </c>
      <c r="B122" s="37" t="s">
        <v>60</v>
      </c>
      <c r="C122" s="72"/>
      <c r="D122" s="39" t="s">
        <v>37</v>
      </c>
      <c r="E122" s="66">
        <v>17</v>
      </c>
      <c r="F122" s="73"/>
      <c r="G122" s="37" t="s">
        <v>38</v>
      </c>
      <c r="H122" s="42">
        <v>5900</v>
      </c>
      <c r="I122" s="72">
        <f t="shared" si="23"/>
        <v>3372.9120000000003</v>
      </c>
      <c r="J122" s="74">
        <f t="shared" si="24"/>
        <v>3242.5544647058823</v>
      </c>
      <c r="K122" s="74">
        <f t="shared" si="25"/>
        <v>2527.0879999999997</v>
      </c>
      <c r="L122" s="74">
        <f t="shared" si="26"/>
        <v>2657.4455352941177</v>
      </c>
      <c r="M122" s="74">
        <f t="shared" si="27"/>
        <v>0.54958550249252247</v>
      </c>
      <c r="N122" s="74">
        <f t="shared" si="28"/>
        <v>0.57168000000000008</v>
      </c>
      <c r="O122" s="75">
        <f t="shared" si="29"/>
        <v>4.0202111240694928E-2</v>
      </c>
      <c r="P122" s="71">
        <v>3074</v>
      </c>
      <c r="Q122" s="71">
        <v>2051</v>
      </c>
      <c r="R122" s="81"/>
      <c r="S122" s="81"/>
      <c r="T122" s="71">
        <v>8148</v>
      </c>
      <c r="U122" s="71">
        <v>12174</v>
      </c>
      <c r="V122" s="71">
        <f>6953+7044</f>
        <v>13997</v>
      </c>
      <c r="W122" s="71"/>
      <c r="X122" s="71">
        <v>20.37</v>
      </c>
      <c r="Y122" s="71"/>
      <c r="Z122" s="71"/>
      <c r="AA122" s="71"/>
      <c r="AB122" s="71">
        <v>2987</v>
      </c>
      <c r="AC122" s="76">
        <f>IFERROR(AD122/E122,0)</f>
        <v>3242.5544647058823</v>
      </c>
      <c r="AD122" s="77">
        <f t="shared" si="17"/>
        <v>55123.425900000002</v>
      </c>
      <c r="AE122" s="50">
        <v>210</v>
      </c>
      <c r="AF122" s="78"/>
      <c r="AG122" s="50">
        <v>90</v>
      </c>
      <c r="AH122" s="79"/>
      <c r="AI122" s="50">
        <v>490</v>
      </c>
      <c r="AJ122" s="50">
        <v>735</v>
      </c>
      <c r="AK122" s="50">
        <f>430+400</f>
        <v>830</v>
      </c>
      <c r="AL122" s="76"/>
      <c r="AM122" s="72"/>
      <c r="AN122" s="50"/>
      <c r="AO122" s="50">
        <v>2.1</v>
      </c>
      <c r="AP122" s="76"/>
      <c r="AQ122" s="52">
        <v>159</v>
      </c>
      <c r="AR122" s="82">
        <f t="shared" si="18"/>
        <v>3372.9120000000003</v>
      </c>
      <c r="AS122" s="83">
        <f>AR122*E122</f>
        <v>57339.504000000001</v>
      </c>
      <c r="AT122" s="74">
        <f t="shared" si="19"/>
        <v>130.35753529411795</v>
      </c>
      <c r="AU122" s="73">
        <f>IFERROR(AT122*E122,0)</f>
        <v>2216.0781000000052</v>
      </c>
      <c r="AV122" s="72" t="str">
        <f>D122</f>
        <v>M20</v>
      </c>
      <c r="AW122" s="72">
        <f>P122/E122</f>
        <v>180.8235294117647</v>
      </c>
      <c r="AX122" s="72">
        <f>Q122/E122</f>
        <v>120.64705882352941</v>
      </c>
      <c r="AY122" s="72">
        <f>R122/E122</f>
        <v>0</v>
      </c>
      <c r="AZ122" s="72">
        <f>S122/E122</f>
        <v>0</v>
      </c>
      <c r="BA122" s="72">
        <f>T122/E122</f>
        <v>479.29411764705884</v>
      </c>
      <c r="BB122" s="72">
        <f>U122/E122</f>
        <v>716.11764705882354</v>
      </c>
      <c r="BC122" s="72">
        <f>V122/E122</f>
        <v>823.35294117647061</v>
      </c>
      <c r="BD122" s="72"/>
      <c r="BE122" s="72">
        <f>X122/E122</f>
        <v>1.1982352941176471</v>
      </c>
      <c r="BF122" s="72">
        <f>Y122/E122</f>
        <v>0</v>
      </c>
      <c r="BG122" s="72">
        <f>AB122/E122</f>
        <v>175.70588235294119</v>
      </c>
      <c r="BH122" s="84">
        <f>Z122/E122</f>
        <v>0</v>
      </c>
      <c r="BI122" s="72"/>
      <c r="BJ122" s="72">
        <f t="shared" si="30"/>
        <v>2497.139411764706</v>
      </c>
    </row>
    <row r="123" spans="1:62" ht="18.75">
      <c r="A123" s="36">
        <v>45734</v>
      </c>
      <c r="B123" s="37" t="s">
        <v>60</v>
      </c>
      <c r="C123" s="72"/>
      <c r="D123" s="39" t="s">
        <v>37</v>
      </c>
      <c r="E123" s="66">
        <v>2</v>
      </c>
      <c r="F123" s="73"/>
      <c r="G123" s="37" t="s">
        <v>38</v>
      </c>
      <c r="H123" s="42">
        <v>5900</v>
      </c>
      <c r="I123" s="72">
        <f t="shared" si="23"/>
        <v>3372.9120000000003</v>
      </c>
      <c r="J123" s="74">
        <f t="shared" si="24"/>
        <v>3045.3982499999997</v>
      </c>
      <c r="K123" s="74">
        <f t="shared" si="25"/>
        <v>2527.0879999999997</v>
      </c>
      <c r="L123" s="74">
        <f t="shared" si="26"/>
        <v>2854.6017500000003</v>
      </c>
      <c r="M123" s="74">
        <f t="shared" si="27"/>
        <v>0.51616919491525415</v>
      </c>
      <c r="N123" s="74">
        <f t="shared" si="28"/>
        <v>0.57168000000000008</v>
      </c>
      <c r="O123" s="75">
        <f t="shared" si="29"/>
        <v>0.10754381631367951</v>
      </c>
      <c r="P123" s="71">
        <v>264</v>
      </c>
      <c r="Q123" s="71">
        <v>264</v>
      </c>
      <c r="R123" s="81"/>
      <c r="S123" s="81"/>
      <c r="T123" s="71">
        <v>953</v>
      </c>
      <c r="U123" s="71">
        <v>1403</v>
      </c>
      <c r="V123" s="71">
        <v>1748</v>
      </c>
      <c r="W123" s="71"/>
      <c r="X123" s="71">
        <v>2.15</v>
      </c>
      <c r="Y123" s="71"/>
      <c r="Z123" s="71"/>
      <c r="AA123" s="71"/>
      <c r="AB123" s="71">
        <v>335</v>
      </c>
      <c r="AC123" s="76">
        <f>IFERROR(AD123/E123,0)</f>
        <v>3045.3982499999997</v>
      </c>
      <c r="AD123" s="77">
        <f t="shared" si="17"/>
        <v>6090.7964999999995</v>
      </c>
      <c r="AE123" s="50">
        <v>210</v>
      </c>
      <c r="AF123" s="78"/>
      <c r="AG123" s="50">
        <v>90</v>
      </c>
      <c r="AH123" s="79"/>
      <c r="AI123" s="50">
        <v>490</v>
      </c>
      <c r="AJ123" s="50">
        <v>735</v>
      </c>
      <c r="AK123" s="50">
        <f>430+400</f>
        <v>830</v>
      </c>
      <c r="AL123" s="76"/>
      <c r="AM123" s="72"/>
      <c r="AN123" s="50"/>
      <c r="AO123" s="50">
        <v>2.1</v>
      </c>
      <c r="AP123" s="76"/>
      <c r="AQ123" s="52">
        <v>159</v>
      </c>
      <c r="AR123" s="82">
        <f t="shared" si="18"/>
        <v>3372.9120000000003</v>
      </c>
      <c r="AS123" s="83">
        <f>AR123*E123</f>
        <v>6745.8240000000005</v>
      </c>
      <c r="AT123" s="74">
        <f t="shared" si="19"/>
        <v>327.51375000000053</v>
      </c>
      <c r="AU123" s="73">
        <f>IFERROR(AT123*E123,0)</f>
        <v>655.02750000000106</v>
      </c>
      <c r="AV123" s="72" t="str">
        <f>D123</f>
        <v>M20</v>
      </c>
      <c r="AW123" s="72">
        <f>P123/E123</f>
        <v>132</v>
      </c>
      <c r="AX123" s="72">
        <f>Q123/E123</f>
        <v>132</v>
      </c>
      <c r="AY123" s="72">
        <f>R123/E123</f>
        <v>0</v>
      </c>
      <c r="AZ123" s="72">
        <f>S123/E123</f>
        <v>0</v>
      </c>
      <c r="BA123" s="72">
        <f>T123/E123</f>
        <v>476.5</v>
      </c>
      <c r="BB123" s="72">
        <f>U123/E123</f>
        <v>701.5</v>
      </c>
      <c r="BC123" s="72">
        <f>V123/E123</f>
        <v>874</v>
      </c>
      <c r="BD123" s="72"/>
      <c r="BE123" s="72">
        <f>X123/E123</f>
        <v>1.075</v>
      </c>
      <c r="BF123" s="72">
        <f>Y123/E123</f>
        <v>0</v>
      </c>
      <c r="BG123" s="72">
        <f>AB123/E123</f>
        <v>167.5</v>
      </c>
      <c r="BH123" s="84">
        <f>Z123/E123</f>
        <v>0</v>
      </c>
      <c r="BI123" s="72"/>
      <c r="BJ123" s="72">
        <f t="shared" si="30"/>
        <v>2484.5749999999998</v>
      </c>
    </row>
    <row r="124" spans="1:62" ht="18.75">
      <c r="A124" s="36">
        <v>45734</v>
      </c>
      <c r="B124" s="37" t="s">
        <v>98</v>
      </c>
      <c r="C124" s="72"/>
      <c r="D124" s="39" t="s">
        <v>40</v>
      </c>
      <c r="E124" s="66">
        <v>7</v>
      </c>
      <c r="F124" s="73"/>
      <c r="G124" s="37" t="s">
        <v>41</v>
      </c>
      <c r="H124" s="42">
        <v>5800</v>
      </c>
      <c r="I124" s="72">
        <f t="shared" si="23"/>
        <v>3452.0828000000001</v>
      </c>
      <c r="J124" s="74">
        <f t="shared" si="24"/>
        <v>3328.2142096153843</v>
      </c>
      <c r="K124" s="74">
        <f t="shared" si="25"/>
        <v>2347.9171999999999</v>
      </c>
      <c r="L124" s="74">
        <f t="shared" si="26"/>
        <v>2471.7857903846157</v>
      </c>
      <c r="M124" s="74">
        <f t="shared" si="27"/>
        <v>0.57383003614058348</v>
      </c>
      <c r="N124" s="74">
        <f t="shared" si="28"/>
        <v>0.59518668965517241</v>
      </c>
      <c r="O124" s="75">
        <f t="shared" si="29"/>
        <v>3.721773377048658E-2</v>
      </c>
      <c r="P124" s="71">
        <v>1399.8653846153845</v>
      </c>
      <c r="Q124" s="71">
        <v>845.51923076923072</v>
      </c>
      <c r="R124" s="71"/>
      <c r="S124" s="71"/>
      <c r="T124" s="71">
        <v>3426.7692307692309</v>
      </c>
      <c r="U124" s="71">
        <v>5099.2307692307695</v>
      </c>
      <c r="V124" s="71">
        <v>5454.75</v>
      </c>
      <c r="W124" s="71"/>
      <c r="X124" s="71">
        <v>9.0824999999999996</v>
      </c>
      <c r="Y124" s="71"/>
      <c r="Z124" s="71"/>
      <c r="AA124" s="71"/>
      <c r="AB124" s="71">
        <v>1242.0961538461538</v>
      </c>
      <c r="AC124" s="76">
        <f>IFERROR(AD124/E124,0)</f>
        <v>3328.2142096153843</v>
      </c>
      <c r="AD124" s="77">
        <f t="shared" si="17"/>
        <v>23297.499467307691</v>
      </c>
      <c r="AE124" s="48">
        <v>224</v>
      </c>
      <c r="AF124" s="78"/>
      <c r="AG124" s="50">
        <v>96</v>
      </c>
      <c r="AH124" s="79"/>
      <c r="AI124" s="50">
        <v>495</v>
      </c>
      <c r="AJ124" s="50">
        <v>740</v>
      </c>
      <c r="AK124" s="50">
        <v>800</v>
      </c>
      <c r="AL124" s="76"/>
      <c r="AM124" s="72"/>
      <c r="AN124" s="50"/>
      <c r="AO124" s="50">
        <v>2.2400000000000002</v>
      </c>
      <c r="AP124" s="76"/>
      <c r="AQ124" s="52">
        <v>155</v>
      </c>
      <c r="AR124" s="82">
        <f t="shared" si="18"/>
        <v>3452.0828000000001</v>
      </c>
      <c r="AS124" s="83">
        <f>AR124*E124</f>
        <v>24164.579600000001</v>
      </c>
      <c r="AT124" s="74">
        <f t="shared" si="19"/>
        <v>123.8685903846158</v>
      </c>
      <c r="AU124" s="73">
        <f>IFERROR(AT124*E124,0)</f>
        <v>867.0801326923106</v>
      </c>
      <c r="AV124" s="72" t="str">
        <f>D124</f>
        <v>M25</v>
      </c>
      <c r="AW124" s="72">
        <f>P124/E124</f>
        <v>199.98076923076923</v>
      </c>
      <c r="AX124" s="72">
        <f>Q124/E124</f>
        <v>120.78846153846153</v>
      </c>
      <c r="AY124" s="72">
        <f>R124/E124</f>
        <v>0</v>
      </c>
      <c r="AZ124" s="72">
        <f>S124/E124</f>
        <v>0</v>
      </c>
      <c r="BA124" s="72">
        <f>T124/E124</f>
        <v>489.53846153846155</v>
      </c>
      <c r="BB124" s="72">
        <f>U124/E124</f>
        <v>728.46153846153845</v>
      </c>
      <c r="BC124" s="72">
        <f>V124/E124</f>
        <v>779.25</v>
      </c>
      <c r="BD124" s="72"/>
      <c r="BE124" s="72">
        <f>X124/E124</f>
        <v>1.2974999999999999</v>
      </c>
      <c r="BF124" s="72">
        <f>Y124/E124</f>
        <v>0</v>
      </c>
      <c r="BG124" s="72">
        <f>AB124/E124</f>
        <v>177.44230769230768</v>
      </c>
      <c r="BH124" s="84">
        <f>Z124/E124</f>
        <v>0</v>
      </c>
      <c r="BI124" s="72"/>
      <c r="BJ124" s="72">
        <f t="shared" si="30"/>
        <v>2496.7590384615387</v>
      </c>
    </row>
    <row r="125" spans="1:62" ht="18.75">
      <c r="A125" s="36">
        <v>45734</v>
      </c>
      <c r="B125" s="37" t="s">
        <v>98</v>
      </c>
      <c r="C125" s="72"/>
      <c r="D125" s="39" t="s">
        <v>40</v>
      </c>
      <c r="E125" s="66">
        <v>36</v>
      </c>
      <c r="F125" s="73"/>
      <c r="G125" s="37" t="s">
        <v>41</v>
      </c>
      <c r="H125" s="42">
        <v>5800</v>
      </c>
      <c r="I125" s="72">
        <f t="shared" si="23"/>
        <v>3452.0828000000001</v>
      </c>
      <c r="J125" s="74">
        <f t="shared" si="24"/>
        <v>3094.5243619047619</v>
      </c>
      <c r="K125" s="74">
        <f t="shared" si="25"/>
        <v>2347.9171999999999</v>
      </c>
      <c r="L125" s="74">
        <f t="shared" si="26"/>
        <v>2705.4756380952381</v>
      </c>
      <c r="M125" s="74">
        <f t="shared" si="27"/>
        <v>0.5335386830870279</v>
      </c>
      <c r="N125" s="74">
        <f t="shared" si="28"/>
        <v>0.59518668965517241</v>
      </c>
      <c r="O125" s="75">
        <f t="shared" si="29"/>
        <v>0.11554552373119838</v>
      </c>
      <c r="P125" s="71">
        <v>5088.7619047619055</v>
      </c>
      <c r="Q125" s="71">
        <v>4712</v>
      </c>
      <c r="R125" s="71"/>
      <c r="S125" s="71"/>
      <c r="T125" s="71">
        <v>17689.142857142855</v>
      </c>
      <c r="U125" s="71">
        <v>26343.619047619046</v>
      </c>
      <c r="V125" s="71">
        <v>29867.428571428569</v>
      </c>
      <c r="W125" s="71"/>
      <c r="X125" s="71">
        <v>40.975238095238097</v>
      </c>
      <c r="Y125" s="71"/>
      <c r="Z125" s="71"/>
      <c r="AA125" s="71"/>
      <c r="AB125" s="71">
        <v>6048.3809523809523</v>
      </c>
      <c r="AC125" s="76">
        <f>IFERROR(AD125/E125,0)</f>
        <v>3094.5243619047619</v>
      </c>
      <c r="AD125" s="77">
        <f t="shared" si="17"/>
        <v>111402.87702857143</v>
      </c>
      <c r="AE125" s="48">
        <v>224</v>
      </c>
      <c r="AF125" s="78"/>
      <c r="AG125" s="50">
        <v>96</v>
      </c>
      <c r="AH125" s="79"/>
      <c r="AI125" s="50">
        <v>495</v>
      </c>
      <c r="AJ125" s="50">
        <v>740</v>
      </c>
      <c r="AK125" s="50">
        <v>800</v>
      </c>
      <c r="AL125" s="76"/>
      <c r="AM125" s="72"/>
      <c r="AN125" s="50"/>
      <c r="AO125" s="50">
        <v>2.2400000000000002</v>
      </c>
      <c r="AP125" s="76"/>
      <c r="AQ125" s="52">
        <v>155</v>
      </c>
      <c r="AR125" s="82">
        <f t="shared" si="18"/>
        <v>3452.0828000000001</v>
      </c>
      <c r="AS125" s="83">
        <f>AR125*E125</f>
        <v>124274.9808</v>
      </c>
      <c r="AT125" s="74">
        <f t="shared" si="19"/>
        <v>357.55843809523822</v>
      </c>
      <c r="AU125" s="73">
        <f>IFERROR(AT125*E125,0)</f>
        <v>12872.103771428576</v>
      </c>
      <c r="AV125" s="72" t="str">
        <f>D125</f>
        <v>M25</v>
      </c>
      <c r="AW125" s="72">
        <f>P125/E125</f>
        <v>141.35449735449737</v>
      </c>
      <c r="AX125" s="72">
        <f>Q125/E125</f>
        <v>130.88888888888889</v>
      </c>
      <c r="AY125" s="72">
        <f>R125/E125</f>
        <v>0</v>
      </c>
      <c r="AZ125" s="72">
        <f>S125/E125</f>
        <v>0</v>
      </c>
      <c r="BA125" s="72">
        <f>T125/E125</f>
        <v>491.36507936507928</v>
      </c>
      <c r="BB125" s="72">
        <f>U125/E125</f>
        <v>731.76719576719574</v>
      </c>
      <c r="BC125" s="72">
        <f>V125/E125</f>
        <v>829.65079365079362</v>
      </c>
      <c r="BD125" s="72"/>
      <c r="BE125" s="72">
        <f>X125/E125</f>
        <v>1.1382010582010582</v>
      </c>
      <c r="BF125" s="72">
        <f>Y125/E125</f>
        <v>0</v>
      </c>
      <c r="BG125" s="72">
        <f>AB125/E125</f>
        <v>168.010582010582</v>
      </c>
      <c r="BH125" s="84">
        <f>Z125/E125</f>
        <v>0</v>
      </c>
      <c r="BI125" s="72"/>
      <c r="BJ125" s="72">
        <f t="shared" si="30"/>
        <v>2494.175238095238</v>
      </c>
    </row>
    <row r="126" spans="1:62" ht="18.75">
      <c r="A126" s="36">
        <v>45734</v>
      </c>
      <c r="B126" s="37" t="s">
        <v>87</v>
      </c>
      <c r="C126" s="72"/>
      <c r="D126" s="39" t="s">
        <v>40</v>
      </c>
      <c r="E126" s="40">
        <v>36</v>
      </c>
      <c r="F126" s="73"/>
      <c r="G126" s="37" t="s">
        <v>41</v>
      </c>
      <c r="H126" s="42">
        <v>5600</v>
      </c>
      <c r="I126" s="72">
        <f t="shared" si="23"/>
        <v>3452.0828000000001</v>
      </c>
      <c r="J126" s="74">
        <f t="shared" si="24"/>
        <v>3328.2142096153848</v>
      </c>
      <c r="K126" s="74">
        <f t="shared" si="25"/>
        <v>2147.9171999999999</v>
      </c>
      <c r="L126" s="74">
        <f t="shared" si="26"/>
        <v>2271.7857903846152</v>
      </c>
      <c r="M126" s="74">
        <f t="shared" si="27"/>
        <v>0.59432396600274728</v>
      </c>
      <c r="N126" s="74">
        <f t="shared" si="28"/>
        <v>0.61644335714285714</v>
      </c>
      <c r="O126" s="75">
        <f t="shared" si="29"/>
        <v>3.7217733770486393E-2</v>
      </c>
      <c r="P126" s="71">
        <v>7199.3076923076924</v>
      </c>
      <c r="Q126" s="71">
        <v>4348.3846153846152</v>
      </c>
      <c r="R126" s="71"/>
      <c r="S126" s="71"/>
      <c r="T126" s="71">
        <v>17623.384615384617</v>
      </c>
      <c r="U126" s="71">
        <v>26224.615384615383</v>
      </c>
      <c r="V126" s="71">
        <v>28053</v>
      </c>
      <c r="W126" s="71"/>
      <c r="X126" s="71">
        <v>46.709999999999994</v>
      </c>
      <c r="Y126" s="71"/>
      <c r="Z126" s="71"/>
      <c r="AA126" s="71"/>
      <c r="AB126" s="71">
        <v>6387.9230769230762</v>
      </c>
      <c r="AC126" s="76">
        <f>IFERROR(AD126/E126,0)</f>
        <v>3328.2142096153848</v>
      </c>
      <c r="AD126" s="77">
        <f t="shared" si="17"/>
        <v>119815.71154615385</v>
      </c>
      <c r="AE126" s="48">
        <v>224</v>
      </c>
      <c r="AF126" s="78"/>
      <c r="AG126" s="50">
        <v>96</v>
      </c>
      <c r="AH126" s="79"/>
      <c r="AI126" s="50">
        <v>495</v>
      </c>
      <c r="AJ126" s="50">
        <v>740</v>
      </c>
      <c r="AK126" s="50">
        <v>800</v>
      </c>
      <c r="AL126" s="76"/>
      <c r="AM126" s="72"/>
      <c r="AN126" s="50"/>
      <c r="AO126" s="50">
        <v>2.2400000000000002</v>
      </c>
      <c r="AP126" s="76"/>
      <c r="AQ126" s="52">
        <v>155</v>
      </c>
      <c r="AR126" s="82">
        <f t="shared" si="18"/>
        <v>3452.0828000000001</v>
      </c>
      <c r="AS126" s="83">
        <f>AR126*E126</f>
        <v>124274.9808</v>
      </c>
      <c r="AT126" s="74">
        <f t="shared" si="19"/>
        <v>123.86859038461535</v>
      </c>
      <c r="AU126" s="73">
        <f>IFERROR(AT126*E126,0)</f>
        <v>4459.2692538461524</v>
      </c>
      <c r="AV126" s="72" t="str">
        <f>D126</f>
        <v>M25</v>
      </c>
      <c r="AW126" s="72">
        <f>P126/E126</f>
        <v>199.98076923076923</v>
      </c>
      <c r="AX126" s="72">
        <f>Q126/E126</f>
        <v>120.78846153846153</v>
      </c>
      <c r="AY126" s="72">
        <f>R126/E126</f>
        <v>0</v>
      </c>
      <c r="AZ126" s="72">
        <f>S126/E126</f>
        <v>0</v>
      </c>
      <c r="BA126" s="72">
        <f>T126/E126</f>
        <v>489.5384615384616</v>
      </c>
      <c r="BB126" s="72">
        <f>U126/E126</f>
        <v>728.46153846153845</v>
      </c>
      <c r="BC126" s="72">
        <f>V126/E126</f>
        <v>779.25</v>
      </c>
      <c r="BD126" s="72"/>
      <c r="BE126" s="72">
        <f>X126/E126</f>
        <v>1.2974999999999999</v>
      </c>
      <c r="BF126" s="72">
        <f>Y126/E126</f>
        <v>0</v>
      </c>
      <c r="BG126" s="72">
        <f>AB126/E126</f>
        <v>177.44230769230768</v>
      </c>
      <c r="BH126" s="84">
        <f>Z126/E126</f>
        <v>0</v>
      </c>
      <c r="BI126" s="72"/>
      <c r="BJ126" s="72">
        <f t="shared" si="30"/>
        <v>2496.7590384615387</v>
      </c>
    </row>
    <row r="127" spans="1:62" ht="18.75">
      <c r="A127" s="36">
        <v>45734</v>
      </c>
      <c r="B127" s="37" t="s">
        <v>99</v>
      </c>
      <c r="C127" s="72"/>
      <c r="D127" s="39" t="s">
        <v>40</v>
      </c>
      <c r="E127" s="66">
        <v>9</v>
      </c>
      <c r="F127" s="73"/>
      <c r="G127" s="37" t="s">
        <v>41</v>
      </c>
      <c r="H127" s="42">
        <v>5400</v>
      </c>
      <c r="I127" s="72">
        <f t="shared" si="23"/>
        <v>3452.0828000000001</v>
      </c>
      <c r="J127" s="74">
        <f t="shared" si="24"/>
        <v>3328.2142096153848</v>
      </c>
      <c r="K127" s="74">
        <f t="shared" si="25"/>
        <v>1947.9171999999999</v>
      </c>
      <c r="L127" s="74">
        <f t="shared" si="26"/>
        <v>2071.7857903846152</v>
      </c>
      <c r="M127" s="74">
        <f t="shared" si="27"/>
        <v>0.61633596474358976</v>
      </c>
      <c r="N127" s="74">
        <f t="shared" si="28"/>
        <v>0.63927459259259267</v>
      </c>
      <c r="O127" s="75">
        <f t="shared" si="29"/>
        <v>3.7217733770486559E-2</v>
      </c>
      <c r="P127" s="71">
        <v>1799.8269230769231</v>
      </c>
      <c r="Q127" s="71">
        <v>1087.0961538461538</v>
      </c>
      <c r="R127" s="71"/>
      <c r="S127" s="71"/>
      <c r="T127" s="71">
        <v>4405.8461538461543</v>
      </c>
      <c r="U127" s="71">
        <v>6556.1538461538457</v>
      </c>
      <c r="V127" s="71">
        <v>7013.25</v>
      </c>
      <c r="W127" s="71"/>
      <c r="X127" s="71">
        <v>11.677499999999998</v>
      </c>
      <c r="Y127" s="71"/>
      <c r="Z127" s="71"/>
      <c r="AA127" s="71"/>
      <c r="AB127" s="71">
        <v>1596.9807692307691</v>
      </c>
      <c r="AC127" s="76">
        <f>IFERROR(AD127/E127,0)</f>
        <v>3328.2142096153848</v>
      </c>
      <c r="AD127" s="77">
        <f t="shared" si="17"/>
        <v>29953.927886538462</v>
      </c>
      <c r="AE127" s="48">
        <v>224</v>
      </c>
      <c r="AF127" s="78"/>
      <c r="AG127" s="50">
        <v>96</v>
      </c>
      <c r="AH127" s="79"/>
      <c r="AI127" s="50">
        <v>495</v>
      </c>
      <c r="AJ127" s="50">
        <v>740</v>
      </c>
      <c r="AK127" s="50">
        <v>800</v>
      </c>
      <c r="AL127" s="76"/>
      <c r="AM127" s="72"/>
      <c r="AN127" s="50"/>
      <c r="AO127" s="50">
        <v>2.2400000000000002</v>
      </c>
      <c r="AP127" s="76"/>
      <c r="AQ127" s="52">
        <v>155</v>
      </c>
      <c r="AR127" s="82">
        <f t="shared" si="18"/>
        <v>3452.0828000000001</v>
      </c>
      <c r="AS127" s="83">
        <f>AR127*E127</f>
        <v>31068.745200000001</v>
      </c>
      <c r="AT127" s="74">
        <f t="shared" si="19"/>
        <v>123.86859038461535</v>
      </c>
      <c r="AU127" s="73">
        <f>IFERROR(AT127*E127,0)</f>
        <v>1114.8173134615381</v>
      </c>
      <c r="AV127" s="72" t="str">
        <f>D127</f>
        <v>M25</v>
      </c>
      <c r="AW127" s="72">
        <f>P127/E127</f>
        <v>199.98076923076923</v>
      </c>
      <c r="AX127" s="72">
        <f>Q127/E127</f>
        <v>120.78846153846153</v>
      </c>
      <c r="AY127" s="72">
        <f>R127/E127</f>
        <v>0</v>
      </c>
      <c r="AZ127" s="72">
        <f>S127/E127</f>
        <v>0</v>
      </c>
      <c r="BA127" s="72">
        <f>T127/E127</f>
        <v>489.5384615384616</v>
      </c>
      <c r="BB127" s="72">
        <f>U127/E127</f>
        <v>728.46153846153845</v>
      </c>
      <c r="BC127" s="72">
        <f>V127/E127</f>
        <v>779.25</v>
      </c>
      <c r="BD127" s="72"/>
      <c r="BE127" s="72">
        <f>X127/E127</f>
        <v>1.2974999999999999</v>
      </c>
      <c r="BF127" s="72">
        <f>Y127/E127</f>
        <v>0</v>
      </c>
      <c r="BG127" s="72">
        <f>AB127/E127</f>
        <v>177.44230769230768</v>
      </c>
      <c r="BH127" s="84">
        <f>Z127/E127</f>
        <v>0</v>
      </c>
      <c r="BI127" s="72"/>
      <c r="BJ127" s="72">
        <f t="shared" si="30"/>
        <v>2496.7590384615387</v>
      </c>
    </row>
    <row r="128" spans="1:62" ht="18.75">
      <c r="A128" s="36">
        <v>45734</v>
      </c>
      <c r="B128" s="37" t="s">
        <v>99</v>
      </c>
      <c r="C128" s="72"/>
      <c r="D128" s="39" t="s">
        <v>40</v>
      </c>
      <c r="E128" s="66">
        <v>58.5</v>
      </c>
      <c r="F128" s="73"/>
      <c r="G128" s="37" t="s">
        <v>41</v>
      </c>
      <c r="H128" s="42">
        <v>5400</v>
      </c>
      <c r="I128" s="72">
        <f t="shared" si="23"/>
        <v>3452.0828000000001</v>
      </c>
      <c r="J128" s="74">
        <f t="shared" si="24"/>
        <v>3094.5243619047619</v>
      </c>
      <c r="K128" s="74">
        <f t="shared" si="25"/>
        <v>1947.9171999999999</v>
      </c>
      <c r="L128" s="74">
        <f t="shared" si="26"/>
        <v>2305.4756380952381</v>
      </c>
      <c r="M128" s="74">
        <f t="shared" si="27"/>
        <v>0.57306006701940038</v>
      </c>
      <c r="N128" s="74">
        <f t="shared" si="28"/>
        <v>0.63927459259259267</v>
      </c>
      <c r="O128" s="75">
        <f t="shared" si="29"/>
        <v>0.11554552373119845</v>
      </c>
      <c r="P128" s="71">
        <v>8269.2380952380954</v>
      </c>
      <c r="Q128" s="71">
        <v>7657</v>
      </c>
      <c r="R128" s="71"/>
      <c r="S128" s="71"/>
      <c r="T128" s="71">
        <v>28744.857142857141</v>
      </c>
      <c r="U128" s="71">
        <v>42808.380952380954</v>
      </c>
      <c r="V128" s="71">
        <v>48534.571428571428</v>
      </c>
      <c r="W128" s="71"/>
      <c r="X128" s="71">
        <v>66.584761904761905</v>
      </c>
      <c r="Y128" s="71"/>
      <c r="Z128" s="71"/>
      <c r="AA128" s="71"/>
      <c r="AB128" s="71">
        <v>9828.6190476190477</v>
      </c>
      <c r="AC128" s="76">
        <f>IFERROR(AD128/E128,0)</f>
        <v>3094.5243619047619</v>
      </c>
      <c r="AD128" s="77">
        <f t="shared" si="17"/>
        <v>181029.67517142856</v>
      </c>
      <c r="AE128" s="48">
        <v>224</v>
      </c>
      <c r="AF128" s="78"/>
      <c r="AG128" s="50">
        <v>96</v>
      </c>
      <c r="AH128" s="79"/>
      <c r="AI128" s="50">
        <v>495</v>
      </c>
      <c r="AJ128" s="50">
        <v>740</v>
      </c>
      <c r="AK128" s="50">
        <v>800</v>
      </c>
      <c r="AL128" s="76"/>
      <c r="AM128" s="72"/>
      <c r="AN128" s="50"/>
      <c r="AO128" s="50">
        <v>2.2400000000000002</v>
      </c>
      <c r="AP128" s="76"/>
      <c r="AQ128" s="52">
        <v>155</v>
      </c>
      <c r="AR128" s="82">
        <f t="shared" si="18"/>
        <v>3452.0828000000001</v>
      </c>
      <c r="AS128" s="83">
        <f>AR128*E128</f>
        <v>201946.8438</v>
      </c>
      <c r="AT128" s="74">
        <f t="shared" si="19"/>
        <v>357.55843809523822</v>
      </c>
      <c r="AU128" s="73">
        <f>IFERROR(AT128*E128,0)</f>
        <v>20917.168628571435</v>
      </c>
      <c r="AV128" s="72" t="str">
        <f>D128</f>
        <v>M25</v>
      </c>
      <c r="AW128" s="72">
        <f>P128/E128</f>
        <v>141.35449735449737</v>
      </c>
      <c r="AX128" s="72">
        <f>Q128/E128</f>
        <v>130.88888888888889</v>
      </c>
      <c r="AY128" s="72">
        <f>R128/E128</f>
        <v>0</v>
      </c>
      <c r="AZ128" s="72">
        <f>S128/E128</f>
        <v>0</v>
      </c>
      <c r="BA128" s="72">
        <f>T128/E128</f>
        <v>491.36507936507934</v>
      </c>
      <c r="BB128" s="72">
        <f>U128/E128</f>
        <v>731.76719576719574</v>
      </c>
      <c r="BC128" s="72">
        <f>V128/E128</f>
        <v>829.65079365079362</v>
      </c>
      <c r="BD128" s="72"/>
      <c r="BE128" s="72">
        <f>X128/E128</f>
        <v>1.1382010582010582</v>
      </c>
      <c r="BF128" s="72">
        <f>Y128/E128</f>
        <v>0</v>
      </c>
      <c r="BG128" s="72">
        <f>AB128/E128</f>
        <v>168.010582010582</v>
      </c>
      <c r="BH128" s="84">
        <f>Z128/E128</f>
        <v>0</v>
      </c>
      <c r="BI128" s="72"/>
      <c r="BJ128" s="72">
        <f t="shared" si="30"/>
        <v>2494.175238095238</v>
      </c>
    </row>
    <row r="129" spans="1:62" ht="18.75">
      <c r="A129" s="36">
        <v>45735</v>
      </c>
      <c r="B129" s="37" t="s">
        <v>100</v>
      </c>
      <c r="C129" s="72"/>
      <c r="D129" s="39" t="s">
        <v>34</v>
      </c>
      <c r="E129" s="66">
        <v>7</v>
      </c>
      <c r="F129" s="73"/>
      <c r="G129" s="37" t="s">
        <v>82</v>
      </c>
      <c r="H129" s="42">
        <v>5150</v>
      </c>
      <c r="I129" s="72">
        <f t="shared" si="23"/>
        <v>3256.6862000000001</v>
      </c>
      <c r="J129" s="74">
        <f t="shared" si="24"/>
        <v>2877.3571034482766</v>
      </c>
      <c r="K129" s="74">
        <f t="shared" si="25"/>
        <v>1893.3137999999999</v>
      </c>
      <c r="L129" s="74">
        <f t="shared" si="26"/>
        <v>2272.6428965517234</v>
      </c>
      <c r="M129" s="74">
        <f t="shared" si="27"/>
        <v>0.55871011717442265</v>
      </c>
      <c r="N129" s="74">
        <f t="shared" si="28"/>
        <v>0.63236625242718447</v>
      </c>
      <c r="O129" s="75">
        <f t="shared" si="29"/>
        <v>0.13183247088000602</v>
      </c>
      <c r="P129" s="71">
        <v>705.79310344827593</v>
      </c>
      <c r="Q129" s="71">
        <v>846.75862068965523</v>
      </c>
      <c r="R129" s="71">
        <v>0</v>
      </c>
      <c r="S129" s="71">
        <v>0</v>
      </c>
      <c r="T129" s="71">
        <v>3361.2068965517242</v>
      </c>
      <c r="U129" s="71">
        <v>4919.7931034482754</v>
      </c>
      <c r="V129" s="71">
        <v>6374.1034482758623</v>
      </c>
      <c r="W129" s="71"/>
      <c r="X129" s="71">
        <v>6.0827586206896544</v>
      </c>
      <c r="Y129" s="71"/>
      <c r="Z129" s="71"/>
      <c r="AA129" s="71"/>
      <c r="AB129" s="71">
        <v>1186.1379310344828</v>
      </c>
      <c r="AC129" s="76">
        <f>IFERROR(AD129/E129,0)</f>
        <v>2877.3571034482766</v>
      </c>
      <c r="AD129" s="77">
        <f t="shared" si="17"/>
        <v>20141.499724137935</v>
      </c>
      <c r="AE129" s="48">
        <v>196</v>
      </c>
      <c r="AF129" s="78"/>
      <c r="AG129" s="50">
        <v>84</v>
      </c>
      <c r="AH129" s="79"/>
      <c r="AI129" s="50">
        <v>480</v>
      </c>
      <c r="AJ129" s="50">
        <v>715</v>
      </c>
      <c r="AK129" s="50">
        <f>440+400</f>
        <v>840</v>
      </c>
      <c r="AL129" s="76"/>
      <c r="AM129" s="72"/>
      <c r="AN129" s="52"/>
      <c r="AO129" s="50">
        <v>1.96</v>
      </c>
      <c r="AP129" s="76"/>
      <c r="AQ129" s="52">
        <v>160</v>
      </c>
      <c r="AR129" s="82">
        <f t="shared" si="18"/>
        <v>3256.6862000000001</v>
      </c>
      <c r="AS129" s="83">
        <f>AR129*E129</f>
        <v>22796.803400000001</v>
      </c>
      <c r="AT129" s="74">
        <f t="shared" si="19"/>
        <v>379.32909655172352</v>
      </c>
      <c r="AU129" s="73">
        <f>IFERROR(AT129*E129,0)</f>
        <v>2655.3036758620647</v>
      </c>
      <c r="AV129" s="72" t="str">
        <f>D129</f>
        <v>M15</v>
      </c>
      <c r="AW129" s="72">
        <f>P129/E129</f>
        <v>100.82758620689656</v>
      </c>
      <c r="AX129" s="72">
        <f>Q129/E129</f>
        <v>120.96551724137932</v>
      </c>
      <c r="AY129" s="72">
        <f>R129/E129</f>
        <v>0</v>
      </c>
      <c r="AZ129" s="72">
        <f>S129/E129</f>
        <v>0</v>
      </c>
      <c r="BA129" s="72">
        <f>T129/E129</f>
        <v>480.17241379310343</v>
      </c>
      <c r="BB129" s="72">
        <f>U129/E129</f>
        <v>702.82758620689651</v>
      </c>
      <c r="BC129" s="72">
        <f>V129/E129</f>
        <v>910.58620689655174</v>
      </c>
      <c r="BD129" s="72"/>
      <c r="BE129" s="72">
        <f>X129/E129</f>
        <v>0.86896551724137916</v>
      </c>
      <c r="BF129" s="72">
        <f>Y129/E129</f>
        <v>0</v>
      </c>
      <c r="BG129" s="72">
        <f>AB129/E129</f>
        <v>169.44827586206898</v>
      </c>
      <c r="BH129" s="84">
        <f>Z129/E129</f>
        <v>0</v>
      </c>
      <c r="BI129" s="72"/>
      <c r="BJ129" s="72">
        <f t="shared" si="30"/>
        <v>2485.6965517241379</v>
      </c>
    </row>
    <row r="130" spans="1:62" ht="18.75">
      <c r="A130" s="36">
        <v>45735</v>
      </c>
      <c r="B130" s="37" t="s">
        <v>101</v>
      </c>
      <c r="C130" s="72"/>
      <c r="D130" s="39" t="s">
        <v>34</v>
      </c>
      <c r="E130" s="66">
        <v>22</v>
      </c>
      <c r="F130" s="73"/>
      <c r="G130" s="37" t="s">
        <v>82</v>
      </c>
      <c r="H130" s="42">
        <v>5300</v>
      </c>
      <c r="I130" s="72">
        <f t="shared" si="23"/>
        <v>3256.6862000000001</v>
      </c>
      <c r="J130" s="74">
        <f t="shared" si="24"/>
        <v>2877.3571034482761</v>
      </c>
      <c r="K130" s="74">
        <f t="shared" si="25"/>
        <v>2043.3137999999999</v>
      </c>
      <c r="L130" s="74">
        <f t="shared" si="26"/>
        <v>2422.6428965517239</v>
      </c>
      <c r="M130" s="74">
        <f t="shared" si="27"/>
        <v>0.54289756668835398</v>
      </c>
      <c r="N130" s="74">
        <f t="shared" si="28"/>
        <v>0.61446909433962271</v>
      </c>
      <c r="O130" s="75">
        <f t="shared" si="29"/>
        <v>0.13183247088000635</v>
      </c>
      <c r="P130" s="71">
        <v>2218.2068965517242</v>
      </c>
      <c r="Q130" s="71">
        <v>2661.2413793103451</v>
      </c>
      <c r="R130" s="71">
        <v>0</v>
      </c>
      <c r="S130" s="71">
        <v>0</v>
      </c>
      <c r="T130" s="71">
        <v>10563.793103448275</v>
      </c>
      <c r="U130" s="71">
        <v>15462.206896551723</v>
      </c>
      <c r="V130" s="71">
        <v>20032.896551724138</v>
      </c>
      <c r="W130" s="71"/>
      <c r="X130" s="71">
        <v>19.117241379310343</v>
      </c>
      <c r="Y130" s="71"/>
      <c r="Z130" s="71"/>
      <c r="AA130" s="71"/>
      <c r="AB130" s="71">
        <v>3727.8620689655172</v>
      </c>
      <c r="AC130" s="76">
        <f>IFERROR(AD130/E130,0)</f>
        <v>2877.3571034482761</v>
      </c>
      <c r="AD130" s="77">
        <f t="shared" si="17"/>
        <v>63301.856275862076</v>
      </c>
      <c r="AE130" s="48">
        <v>196</v>
      </c>
      <c r="AF130" s="78"/>
      <c r="AG130" s="50">
        <v>84</v>
      </c>
      <c r="AH130" s="79"/>
      <c r="AI130" s="50">
        <v>480</v>
      </c>
      <c r="AJ130" s="50">
        <v>715</v>
      </c>
      <c r="AK130" s="50">
        <f>440+400</f>
        <v>840</v>
      </c>
      <c r="AL130" s="76"/>
      <c r="AM130" s="72"/>
      <c r="AN130" s="52"/>
      <c r="AO130" s="50">
        <v>1.96</v>
      </c>
      <c r="AP130" s="76"/>
      <c r="AQ130" s="52">
        <v>160</v>
      </c>
      <c r="AR130" s="82">
        <f t="shared" si="18"/>
        <v>3256.6862000000001</v>
      </c>
      <c r="AS130" s="83">
        <f>AR130*E130</f>
        <v>71647.096400000009</v>
      </c>
      <c r="AT130" s="74">
        <f t="shared" si="19"/>
        <v>379.32909655172398</v>
      </c>
      <c r="AU130" s="73">
        <f>IFERROR(AT130*E130,0)</f>
        <v>8345.2401241379266</v>
      </c>
      <c r="AV130" s="72" t="str">
        <f>D130</f>
        <v>M15</v>
      </c>
      <c r="AW130" s="72">
        <f>P130/E130</f>
        <v>100.82758620689656</v>
      </c>
      <c r="AX130" s="72">
        <f>Q130/E130</f>
        <v>120.96551724137932</v>
      </c>
      <c r="AY130" s="72">
        <f>R130/E130</f>
        <v>0</v>
      </c>
      <c r="AZ130" s="72">
        <f>S130/E130</f>
        <v>0</v>
      </c>
      <c r="BA130" s="72">
        <f>T130/E130</f>
        <v>480.17241379310343</v>
      </c>
      <c r="BB130" s="72">
        <f>U130/E130</f>
        <v>702.82758620689651</v>
      </c>
      <c r="BC130" s="72">
        <f>V130/E130</f>
        <v>910.58620689655174</v>
      </c>
      <c r="BD130" s="72"/>
      <c r="BE130" s="72">
        <f>X130/E130</f>
        <v>0.86896551724137927</v>
      </c>
      <c r="BF130" s="72">
        <f>Y130/E130</f>
        <v>0</v>
      </c>
      <c r="BG130" s="72">
        <f>AB130/E130</f>
        <v>169.44827586206895</v>
      </c>
      <c r="BH130" s="84">
        <f>Z130/E130</f>
        <v>0</v>
      </c>
      <c r="BI130" s="72"/>
      <c r="BJ130" s="72">
        <f t="shared" si="30"/>
        <v>2485.6965517241379</v>
      </c>
    </row>
    <row r="131" spans="1:62" ht="18.75">
      <c r="A131" s="36">
        <v>45735</v>
      </c>
      <c r="B131" s="37" t="s">
        <v>30</v>
      </c>
      <c r="C131" s="72"/>
      <c r="D131" s="39" t="s">
        <v>40</v>
      </c>
      <c r="E131" s="66">
        <v>13</v>
      </c>
      <c r="F131" s="73"/>
      <c r="G131" s="37" t="s">
        <v>41</v>
      </c>
      <c r="H131" s="42">
        <v>5800</v>
      </c>
      <c r="I131" s="72">
        <f t="shared" si="23"/>
        <v>3452.0828000000001</v>
      </c>
      <c r="J131" s="74">
        <f t="shared" si="24"/>
        <v>3333.2826307692308</v>
      </c>
      <c r="K131" s="74">
        <f t="shared" si="25"/>
        <v>2347.9171999999999</v>
      </c>
      <c r="L131" s="74">
        <f t="shared" si="26"/>
        <v>2466.7173692307692</v>
      </c>
      <c r="M131" s="74">
        <f t="shared" si="27"/>
        <v>0.5747039018567639</v>
      </c>
      <c r="N131" s="74">
        <f t="shared" si="28"/>
        <v>0.59518668965517241</v>
      </c>
      <c r="O131" s="75">
        <f t="shared" si="29"/>
        <v>3.5640592890064507E-2</v>
      </c>
      <c r="P131" s="71">
        <v>2592</v>
      </c>
      <c r="Q131" s="71">
        <v>1566</v>
      </c>
      <c r="R131" s="71">
        <v>0</v>
      </c>
      <c r="S131" s="71">
        <v>0</v>
      </c>
      <c r="T131" s="71">
        <v>6434</v>
      </c>
      <c r="U131" s="71">
        <v>9482</v>
      </c>
      <c r="V131" s="71">
        <f>5104+5067</f>
        <v>10171</v>
      </c>
      <c r="W131" s="71"/>
      <c r="X131" s="71">
        <v>16.86</v>
      </c>
      <c r="Y131" s="71"/>
      <c r="Z131" s="71"/>
      <c r="AA131" s="71"/>
      <c r="AB131" s="71">
        <v>2381</v>
      </c>
      <c r="AC131" s="76">
        <f>IFERROR(AD131/E131,0)</f>
        <v>3333.2826307692308</v>
      </c>
      <c r="AD131" s="77">
        <f t="shared" ref="AD131:AD194" si="32">IFERROR(($P$2*P131)+($Q$2*Q131)+($R$2*R131)+($S$2*S131)+($T$2*T131)+($U$2*U131)+($V$2*V131)+($W$2*W131)+($X$2*X131)+($Y$2*Y131)+($Z$2*Z131)+($AA$2*AA131)+(AB131*AB$2),0)</f>
        <v>43332.674200000001</v>
      </c>
      <c r="AE131" s="48">
        <v>224</v>
      </c>
      <c r="AF131" s="78"/>
      <c r="AG131" s="50">
        <v>96</v>
      </c>
      <c r="AH131" s="79"/>
      <c r="AI131" s="50">
        <v>495</v>
      </c>
      <c r="AJ131" s="50">
        <v>740</v>
      </c>
      <c r="AK131" s="50">
        <v>800</v>
      </c>
      <c r="AL131" s="76"/>
      <c r="AM131" s="72"/>
      <c r="AN131" s="52"/>
      <c r="AO131" s="50">
        <v>2.2400000000000002</v>
      </c>
      <c r="AP131" s="76"/>
      <c r="AQ131" s="52">
        <v>155</v>
      </c>
      <c r="AR131" s="82">
        <f t="shared" ref="AR131:AR194" si="33">+($AE$2*AE131)+($AF$2*AF131)+($AG$2*AG131)+($AH$2*AH131)+($AI$2*AI131)+($AJ$2*AJ131)+($AK$2*AK131)+($AL$2*AL131)+($AM$2*AM131)+($AN$2*AN131)+($AO$2*AO131)+($AP$2*AP131)+($AQ$2*AQ131)</f>
        <v>3452.0828000000001</v>
      </c>
      <c r="AS131" s="83">
        <f>AR131*E131</f>
        <v>44877.076400000005</v>
      </c>
      <c r="AT131" s="74">
        <f t="shared" ref="AT131:AT194" si="34">IFERROR(AR131-AC131,0)</f>
        <v>118.80016923076937</v>
      </c>
      <c r="AU131" s="73">
        <f>IFERROR(AT131*E131,0)</f>
        <v>1544.4022000000018</v>
      </c>
      <c r="AV131" s="72" t="str">
        <f>D131</f>
        <v>M25</v>
      </c>
      <c r="AW131" s="72">
        <f>P131/E131</f>
        <v>199.38461538461539</v>
      </c>
      <c r="AX131" s="72">
        <f>Q131/E131</f>
        <v>120.46153846153847</v>
      </c>
      <c r="AY131" s="72">
        <f>R131/E131</f>
        <v>0</v>
      </c>
      <c r="AZ131" s="72">
        <f>S131/E131</f>
        <v>0</v>
      </c>
      <c r="BA131" s="72">
        <f>T131/E131</f>
        <v>494.92307692307691</v>
      </c>
      <c r="BB131" s="72">
        <f>U131/E131</f>
        <v>729.38461538461536</v>
      </c>
      <c r="BC131" s="72">
        <f>V131/E131</f>
        <v>782.38461538461536</v>
      </c>
      <c r="BD131" s="72"/>
      <c r="BE131" s="72">
        <f>X131/E131</f>
        <v>1.2969230769230768</v>
      </c>
      <c r="BF131" s="72">
        <f>Y131/E131</f>
        <v>0</v>
      </c>
      <c r="BG131" s="72">
        <f>AB131/E131</f>
        <v>183.15384615384616</v>
      </c>
      <c r="BH131" s="84">
        <f>Z131/E131</f>
        <v>0</v>
      </c>
      <c r="BI131" s="72"/>
      <c r="BJ131" s="72">
        <f t="shared" si="30"/>
        <v>2510.9892307692307</v>
      </c>
    </row>
    <row r="132" spans="1:62" ht="18.75">
      <c r="A132" s="36">
        <v>45735</v>
      </c>
      <c r="B132" s="37" t="s">
        <v>30</v>
      </c>
      <c r="C132" s="72"/>
      <c r="D132" s="39" t="s">
        <v>40</v>
      </c>
      <c r="E132" s="66">
        <v>38</v>
      </c>
      <c r="F132" s="73"/>
      <c r="G132" s="37" t="s">
        <v>41</v>
      </c>
      <c r="H132" s="42">
        <v>5800</v>
      </c>
      <c r="I132" s="72">
        <f t="shared" si="23"/>
        <v>3452.0828000000001</v>
      </c>
      <c r="J132" s="74">
        <f t="shared" si="24"/>
        <v>3129.8252811320758</v>
      </c>
      <c r="K132" s="74">
        <f t="shared" si="25"/>
        <v>2347.9171999999999</v>
      </c>
      <c r="L132" s="74">
        <f t="shared" si="26"/>
        <v>2670.1747188679242</v>
      </c>
      <c r="M132" s="74">
        <f t="shared" si="27"/>
        <v>0.53962504847104753</v>
      </c>
      <c r="N132" s="74">
        <f t="shared" si="28"/>
        <v>0.59518668965517241</v>
      </c>
      <c r="O132" s="75">
        <f t="shared" si="29"/>
        <v>0.10296342125249941</v>
      </c>
      <c r="P132" s="71">
        <v>5364.4528301886794</v>
      </c>
      <c r="Q132" s="71">
        <v>5509.2830188679245</v>
      </c>
      <c r="R132" s="71">
        <v>0</v>
      </c>
      <c r="S132" s="71">
        <v>0</v>
      </c>
      <c r="T132" s="71">
        <v>18918.981132075471</v>
      </c>
      <c r="U132" s="71">
        <v>27785.886792452828</v>
      </c>
      <c r="V132" s="71">
        <v>31073.24528301887</v>
      </c>
      <c r="W132" s="71"/>
      <c r="X132" s="71">
        <v>41.63509433962264</v>
      </c>
      <c r="Y132" s="71"/>
      <c r="Z132" s="71"/>
      <c r="AA132" s="71"/>
      <c r="AB132" s="71">
        <v>6581.1698113207549</v>
      </c>
      <c r="AC132" s="76">
        <f>IFERROR(AD132/E132,0)</f>
        <v>3129.8252811320758</v>
      </c>
      <c r="AD132" s="77">
        <f t="shared" si="32"/>
        <v>118933.36068301888</v>
      </c>
      <c r="AE132" s="48">
        <v>224</v>
      </c>
      <c r="AF132" s="78"/>
      <c r="AG132" s="50">
        <v>96</v>
      </c>
      <c r="AH132" s="79"/>
      <c r="AI132" s="50">
        <v>495</v>
      </c>
      <c r="AJ132" s="50">
        <v>740</v>
      </c>
      <c r="AK132" s="50">
        <v>800</v>
      </c>
      <c r="AL132" s="76"/>
      <c r="AM132" s="72"/>
      <c r="AN132" s="52"/>
      <c r="AO132" s="50">
        <v>2.2400000000000002</v>
      </c>
      <c r="AP132" s="76"/>
      <c r="AQ132" s="52">
        <v>155</v>
      </c>
      <c r="AR132" s="82">
        <f t="shared" si="33"/>
        <v>3452.0828000000001</v>
      </c>
      <c r="AS132" s="83">
        <f>AR132*E132</f>
        <v>131179.1464</v>
      </c>
      <c r="AT132" s="74">
        <f t="shared" si="34"/>
        <v>322.25751886792432</v>
      </c>
      <c r="AU132" s="73">
        <f>IFERROR(AT132*E132,0)</f>
        <v>12245.785716981125</v>
      </c>
      <c r="AV132" s="72" t="str">
        <f>D132</f>
        <v>M25</v>
      </c>
      <c r="AW132" s="72">
        <f>P132/E132</f>
        <v>141.16981132075472</v>
      </c>
      <c r="AX132" s="72">
        <f>Q132/E132</f>
        <v>144.98113207547169</v>
      </c>
      <c r="AY132" s="72">
        <f>R132/E132</f>
        <v>0</v>
      </c>
      <c r="AZ132" s="72">
        <f>S132/E132</f>
        <v>0</v>
      </c>
      <c r="BA132" s="72">
        <f>T132/E132</f>
        <v>497.86792452830184</v>
      </c>
      <c r="BB132" s="72">
        <f>U132/E132</f>
        <v>731.20754716981128</v>
      </c>
      <c r="BC132" s="72">
        <f>V132/E132</f>
        <v>817.71698113207549</v>
      </c>
      <c r="BD132" s="72"/>
      <c r="BE132" s="72">
        <f>X132/E132</f>
        <v>1.0956603773584905</v>
      </c>
      <c r="BF132" s="72">
        <f>Y132/E132</f>
        <v>0</v>
      </c>
      <c r="BG132" s="72">
        <f>AB132/E132</f>
        <v>173.18867924528303</v>
      </c>
      <c r="BH132" s="84">
        <f>Z132/E132</f>
        <v>0</v>
      </c>
      <c r="BI132" s="72"/>
      <c r="BJ132" s="72">
        <f t="shared" si="30"/>
        <v>2507.227735849056</v>
      </c>
    </row>
    <row r="133" spans="1:62" ht="18.75">
      <c r="A133" s="36">
        <v>45735</v>
      </c>
      <c r="B133" s="37" t="s">
        <v>89</v>
      </c>
      <c r="C133" s="72"/>
      <c r="D133" s="39" t="s">
        <v>40</v>
      </c>
      <c r="E133" s="66">
        <v>7</v>
      </c>
      <c r="F133" s="73"/>
      <c r="G133" s="37" t="s">
        <v>41</v>
      </c>
      <c r="H133" s="42">
        <v>5600</v>
      </c>
      <c r="I133" s="72">
        <f t="shared" si="23"/>
        <v>3452.0828000000001</v>
      </c>
      <c r="J133" s="74">
        <f t="shared" si="24"/>
        <v>3129.8252811320754</v>
      </c>
      <c r="K133" s="74">
        <f t="shared" si="25"/>
        <v>2147.9171999999999</v>
      </c>
      <c r="L133" s="74">
        <f t="shared" si="26"/>
        <v>2470.1747188679246</v>
      </c>
      <c r="M133" s="74">
        <f t="shared" si="27"/>
        <v>0.55889737163072772</v>
      </c>
      <c r="N133" s="74">
        <f t="shared" si="28"/>
        <v>0.61644335714285714</v>
      </c>
      <c r="O133" s="75">
        <f t="shared" si="29"/>
        <v>0.10296342125249956</v>
      </c>
      <c r="P133" s="71">
        <v>988.18867924528308</v>
      </c>
      <c r="Q133" s="71">
        <v>1014.8679245283018</v>
      </c>
      <c r="R133" s="71">
        <v>0</v>
      </c>
      <c r="S133" s="71">
        <v>0</v>
      </c>
      <c r="T133" s="71">
        <v>3485.0754716981132</v>
      </c>
      <c r="U133" s="71">
        <v>5118.4528301886785</v>
      </c>
      <c r="V133" s="71">
        <v>5724.0188679245284</v>
      </c>
      <c r="W133" s="71"/>
      <c r="X133" s="71">
        <v>7.6696226415094335</v>
      </c>
      <c r="Y133" s="71"/>
      <c r="Z133" s="71"/>
      <c r="AA133" s="71"/>
      <c r="AB133" s="71">
        <v>1212.3207547169811</v>
      </c>
      <c r="AC133" s="76">
        <f>IFERROR(AD133/E133,0)</f>
        <v>3129.8252811320754</v>
      </c>
      <c r="AD133" s="77">
        <f t="shared" si="32"/>
        <v>21908.776967924528</v>
      </c>
      <c r="AE133" s="48">
        <v>224</v>
      </c>
      <c r="AF133" s="78"/>
      <c r="AG133" s="50">
        <v>96</v>
      </c>
      <c r="AH133" s="79"/>
      <c r="AI133" s="50">
        <v>495</v>
      </c>
      <c r="AJ133" s="50">
        <v>740</v>
      </c>
      <c r="AK133" s="50">
        <v>800</v>
      </c>
      <c r="AL133" s="76"/>
      <c r="AM133" s="72"/>
      <c r="AN133" s="52"/>
      <c r="AO133" s="50">
        <v>2.2400000000000002</v>
      </c>
      <c r="AP133" s="76"/>
      <c r="AQ133" s="52">
        <v>155</v>
      </c>
      <c r="AR133" s="82">
        <f t="shared" si="33"/>
        <v>3452.0828000000001</v>
      </c>
      <c r="AS133" s="83">
        <f>AR133*E133</f>
        <v>24164.579600000001</v>
      </c>
      <c r="AT133" s="74">
        <f t="shared" si="34"/>
        <v>322.25751886792477</v>
      </c>
      <c r="AU133" s="73">
        <f>IFERROR(AT133*E133,0)</f>
        <v>2255.8026320754734</v>
      </c>
      <c r="AV133" s="72" t="str">
        <f>D133</f>
        <v>M25</v>
      </c>
      <c r="AW133" s="72">
        <f>P133/E133</f>
        <v>141.16981132075472</v>
      </c>
      <c r="AX133" s="72">
        <f>Q133/E133</f>
        <v>144.98113207547169</v>
      </c>
      <c r="AY133" s="72">
        <f>R133/E133</f>
        <v>0</v>
      </c>
      <c r="AZ133" s="72">
        <f>S133/E133</f>
        <v>0</v>
      </c>
      <c r="BA133" s="72">
        <f>T133/E133</f>
        <v>497.8679245283019</v>
      </c>
      <c r="BB133" s="72">
        <f>U133/E133</f>
        <v>731.20754716981116</v>
      </c>
      <c r="BC133" s="72">
        <f>V133/E133</f>
        <v>817.71698113207549</v>
      </c>
      <c r="BD133" s="72"/>
      <c r="BE133" s="72">
        <f>X133/E133</f>
        <v>1.0956603773584905</v>
      </c>
      <c r="BF133" s="72">
        <f>Y133/E133</f>
        <v>0</v>
      </c>
      <c r="BG133" s="72">
        <f>AB133/E133</f>
        <v>173.18867924528303</v>
      </c>
      <c r="BH133" s="84">
        <f>Z133/E133</f>
        <v>0</v>
      </c>
      <c r="BI133" s="72"/>
      <c r="BJ133" s="72">
        <f t="shared" si="30"/>
        <v>2507.227735849056</v>
      </c>
    </row>
    <row r="134" spans="1:62" ht="18.75">
      <c r="A134" s="36">
        <v>45735</v>
      </c>
      <c r="B134" s="37" t="s">
        <v>63</v>
      </c>
      <c r="C134" s="72"/>
      <c r="D134" s="39" t="s">
        <v>40</v>
      </c>
      <c r="E134" s="40">
        <v>8</v>
      </c>
      <c r="F134" s="73"/>
      <c r="G134" s="37" t="s">
        <v>64</v>
      </c>
      <c r="H134" s="42">
        <v>5700</v>
      </c>
      <c r="I134" s="72">
        <f t="shared" si="23"/>
        <v>3533.3622000000005</v>
      </c>
      <c r="J134" s="74">
        <f t="shared" si="24"/>
        <v>3129.8252811320749</v>
      </c>
      <c r="K134" s="74">
        <f t="shared" si="25"/>
        <v>2166.6377999999995</v>
      </c>
      <c r="L134" s="74">
        <f t="shared" si="26"/>
        <v>2570.1747188679251</v>
      </c>
      <c r="M134" s="74">
        <f t="shared" si="27"/>
        <v>0.5490921545845745</v>
      </c>
      <c r="N134" s="74">
        <f t="shared" si="28"/>
        <v>0.61988810526315796</v>
      </c>
      <c r="O134" s="75">
        <f t="shared" si="29"/>
        <v>0.12893273030306798</v>
      </c>
      <c r="P134" s="71">
        <v>1129.3584905660377</v>
      </c>
      <c r="Q134" s="71">
        <v>1159.8490566037735</v>
      </c>
      <c r="R134" s="71">
        <v>0</v>
      </c>
      <c r="S134" s="71">
        <v>0</v>
      </c>
      <c r="T134" s="71">
        <v>3982.9433962264152</v>
      </c>
      <c r="U134" s="71">
        <v>5849.6603773584902</v>
      </c>
      <c r="V134" s="71">
        <v>6541.7358490566039</v>
      </c>
      <c r="W134" s="71"/>
      <c r="X134" s="71">
        <v>8.7652830188679243</v>
      </c>
      <c r="Y134" s="71"/>
      <c r="Z134" s="71"/>
      <c r="AA134" s="71"/>
      <c r="AB134" s="71">
        <v>1385.5094339622642</v>
      </c>
      <c r="AC134" s="76">
        <f>IFERROR(AD134/E134,0)</f>
        <v>3129.8252811320749</v>
      </c>
      <c r="AD134" s="77">
        <f t="shared" si="32"/>
        <v>25038.602249056599</v>
      </c>
      <c r="AE134" s="48">
        <v>216</v>
      </c>
      <c r="AF134" s="78"/>
      <c r="AG134" s="50">
        <v>144</v>
      </c>
      <c r="AH134" s="79"/>
      <c r="AI134" s="50">
        <v>495</v>
      </c>
      <c r="AJ134" s="50">
        <v>743</v>
      </c>
      <c r="AK134" s="50">
        <v>775</v>
      </c>
      <c r="AL134" s="76"/>
      <c r="AM134" s="72"/>
      <c r="AN134" s="52"/>
      <c r="AO134" s="50">
        <v>2.16</v>
      </c>
      <c r="AP134" s="76"/>
      <c r="AQ134" s="52">
        <v>155</v>
      </c>
      <c r="AR134" s="82">
        <f t="shared" si="33"/>
        <v>3533.3622000000005</v>
      </c>
      <c r="AS134" s="83">
        <f>AR134*E134</f>
        <v>28266.897600000004</v>
      </c>
      <c r="AT134" s="74">
        <f t="shared" si="34"/>
        <v>403.53691886792558</v>
      </c>
      <c r="AU134" s="73">
        <f>IFERROR(AT134*E134,0)</f>
        <v>3228.2953509434046</v>
      </c>
      <c r="AV134" s="72" t="str">
        <f>D134</f>
        <v>M25</v>
      </c>
      <c r="AW134" s="72">
        <f>P134/E134</f>
        <v>141.16981132075472</v>
      </c>
      <c r="AX134" s="72">
        <f>Q134/E134</f>
        <v>144.98113207547169</v>
      </c>
      <c r="AY134" s="72">
        <f>R134/E134</f>
        <v>0</v>
      </c>
      <c r="AZ134" s="72">
        <f>S134/E134</f>
        <v>0</v>
      </c>
      <c r="BA134" s="72">
        <f>T134/E134</f>
        <v>497.8679245283019</v>
      </c>
      <c r="BB134" s="72">
        <f>U134/E134</f>
        <v>731.20754716981128</v>
      </c>
      <c r="BC134" s="72">
        <f>V134/E134</f>
        <v>817.71698113207549</v>
      </c>
      <c r="BD134" s="72"/>
      <c r="BE134" s="72">
        <f>X134/E134</f>
        <v>1.0956603773584905</v>
      </c>
      <c r="BF134" s="72">
        <f>Y134/E134</f>
        <v>0</v>
      </c>
      <c r="BG134" s="72">
        <f>AB134/E134</f>
        <v>173.18867924528303</v>
      </c>
      <c r="BH134" s="84">
        <f>Z134/E134</f>
        <v>0</v>
      </c>
      <c r="BI134" s="72"/>
      <c r="BJ134" s="72">
        <f t="shared" si="30"/>
        <v>2507.2277358490564</v>
      </c>
    </row>
    <row r="135" spans="1:62" ht="18.75">
      <c r="A135" s="36">
        <v>45735</v>
      </c>
      <c r="B135" s="37" t="s">
        <v>36</v>
      </c>
      <c r="C135" s="72"/>
      <c r="D135" s="39" t="s">
        <v>43</v>
      </c>
      <c r="E135" s="66">
        <v>8.5</v>
      </c>
      <c r="F135" s="73"/>
      <c r="G135" s="37" t="s">
        <v>59</v>
      </c>
      <c r="H135" s="42">
        <v>5800</v>
      </c>
      <c r="I135" s="72">
        <f t="shared" si="23"/>
        <v>3627.3514</v>
      </c>
      <c r="J135" s="74">
        <f t="shared" si="24"/>
        <v>3418.2110434108554</v>
      </c>
      <c r="K135" s="74">
        <f t="shared" si="25"/>
        <v>2172.6486</v>
      </c>
      <c r="L135" s="74">
        <f t="shared" si="26"/>
        <v>2381.7889565891446</v>
      </c>
      <c r="M135" s="74">
        <f t="shared" si="27"/>
        <v>0.58934673162256124</v>
      </c>
      <c r="N135" s="74">
        <f t="shared" si="28"/>
        <v>0.62540541379310344</v>
      </c>
      <c r="O135" s="75">
        <f t="shared" si="29"/>
        <v>6.1184155668883002E-2</v>
      </c>
      <c r="P135" s="71">
        <v>1791.1937984496155</v>
      </c>
      <c r="Q135" s="71">
        <v>1112.7751937984494</v>
      </c>
      <c r="R135" s="71">
        <v>0</v>
      </c>
      <c r="S135" s="71">
        <v>0</v>
      </c>
      <c r="T135" s="71">
        <v>4254.2170542635658</v>
      </c>
      <c r="U135" s="71">
        <v>6297.1162790697681</v>
      </c>
      <c r="V135" s="71">
        <v>6409.1317829457366</v>
      </c>
      <c r="W135" s="71">
        <v>0</v>
      </c>
      <c r="X135" s="71">
        <v>11.885503875968993</v>
      </c>
      <c r="Y135" s="71">
        <v>0</v>
      </c>
      <c r="Z135" s="71"/>
      <c r="AA135" s="71">
        <f t="shared" ref="AA135" si="35">AA136*8.5</f>
        <v>0</v>
      </c>
      <c r="AB135" s="71">
        <v>1505.6201550387598</v>
      </c>
      <c r="AC135" s="76">
        <f>IFERROR(AD135/E135,0)</f>
        <v>3418.2110434108554</v>
      </c>
      <c r="AD135" s="77">
        <f t="shared" si="32"/>
        <v>29054.79386899227</v>
      </c>
      <c r="AE135" s="48">
        <v>252</v>
      </c>
      <c r="AF135" s="78"/>
      <c r="AG135" s="50">
        <v>108</v>
      </c>
      <c r="AH135" s="79"/>
      <c r="AI135" s="50">
        <v>495</v>
      </c>
      <c r="AJ135" s="50">
        <v>743</v>
      </c>
      <c r="AK135" s="50">
        <f>300+475</f>
        <v>775</v>
      </c>
      <c r="AL135" s="76"/>
      <c r="AM135" s="72"/>
      <c r="AN135" s="52"/>
      <c r="AO135" s="50">
        <v>2.52</v>
      </c>
      <c r="AP135" s="76"/>
      <c r="AQ135" s="52">
        <v>150</v>
      </c>
      <c r="AR135" s="82">
        <f t="shared" si="33"/>
        <v>3627.3514</v>
      </c>
      <c r="AS135" s="83">
        <f>AR135*E135</f>
        <v>30832.4869</v>
      </c>
      <c r="AT135" s="74">
        <f t="shared" si="34"/>
        <v>209.14035658914463</v>
      </c>
      <c r="AU135" s="73">
        <f>IFERROR(AT135*E135,0)</f>
        <v>1777.6930310077294</v>
      </c>
      <c r="AV135" s="72" t="str">
        <f>D135</f>
        <v>M30</v>
      </c>
      <c r="AW135" s="72">
        <f>P135/E135</f>
        <v>210.72868217054301</v>
      </c>
      <c r="AX135" s="72">
        <f>Q135/E135</f>
        <v>130.91472868217053</v>
      </c>
      <c r="AY135" s="72">
        <f>R135/E135</f>
        <v>0</v>
      </c>
      <c r="AZ135" s="72">
        <f>S135/E135</f>
        <v>0</v>
      </c>
      <c r="BA135" s="72">
        <f>T135/E135</f>
        <v>500.49612403100775</v>
      </c>
      <c r="BB135" s="72">
        <f>U135/E135</f>
        <v>740.83720930232562</v>
      </c>
      <c r="BC135" s="72">
        <f>V135/E135</f>
        <v>754.01550387596899</v>
      </c>
      <c r="BD135" s="72"/>
      <c r="BE135" s="72">
        <f>X135/E135</f>
        <v>1.3982945736434109</v>
      </c>
      <c r="BF135" s="72">
        <f>Y135/E135</f>
        <v>0</v>
      </c>
      <c r="BG135" s="72">
        <f>AB135/E135</f>
        <v>177.13178294573643</v>
      </c>
      <c r="BH135" s="84">
        <f>Z135/E135</f>
        <v>0</v>
      </c>
      <c r="BI135" s="72"/>
      <c r="BJ135" s="72">
        <f t="shared" si="30"/>
        <v>2515.5223255813962</v>
      </c>
    </row>
    <row r="136" spans="1:62" ht="18.75">
      <c r="A136" s="36">
        <v>45735</v>
      </c>
      <c r="B136" s="60" t="s">
        <v>42</v>
      </c>
      <c r="C136" s="72"/>
      <c r="D136" s="39" t="s">
        <v>43</v>
      </c>
      <c r="E136" s="66">
        <v>56</v>
      </c>
      <c r="F136" s="73"/>
      <c r="G136" s="37" t="s">
        <v>44</v>
      </c>
      <c r="H136" s="42">
        <v>5700</v>
      </c>
      <c r="I136" s="72">
        <f t="shared" si="23"/>
        <v>3708.5709999999999</v>
      </c>
      <c r="J136" s="74">
        <f t="shared" si="24"/>
        <v>3418.2110434108545</v>
      </c>
      <c r="K136" s="74">
        <f t="shared" si="25"/>
        <v>1991.4290000000001</v>
      </c>
      <c r="L136" s="74">
        <f t="shared" si="26"/>
        <v>2281.7889565891455</v>
      </c>
      <c r="M136" s="74">
        <f t="shared" si="27"/>
        <v>0.59968614796681663</v>
      </c>
      <c r="N136" s="74">
        <f t="shared" si="28"/>
        <v>0.65062649122807015</v>
      </c>
      <c r="O136" s="75">
        <f t="shared" si="29"/>
        <v>8.4945005706672211E-2</v>
      </c>
      <c r="P136" s="71">
        <v>11800.806201550409</v>
      </c>
      <c r="Q136" s="71">
        <v>7331.2248062015497</v>
      </c>
      <c r="R136" s="71">
        <v>0</v>
      </c>
      <c r="S136" s="71">
        <v>0</v>
      </c>
      <c r="T136" s="71">
        <v>28027.782945736435</v>
      </c>
      <c r="U136" s="71">
        <v>41486.883720930236</v>
      </c>
      <c r="V136" s="71">
        <v>42224.86821705426</v>
      </c>
      <c r="W136" s="71">
        <v>0</v>
      </c>
      <c r="X136" s="71">
        <v>78.304496124031004</v>
      </c>
      <c r="Y136" s="71">
        <v>0</v>
      </c>
      <c r="Z136" s="71"/>
      <c r="AA136" s="71"/>
      <c r="AB136" s="71">
        <v>9919.3798449612405</v>
      </c>
      <c r="AC136" s="76">
        <f>IFERROR(AD136/E136,0)</f>
        <v>3418.2110434108545</v>
      </c>
      <c r="AD136" s="77">
        <f t="shared" si="32"/>
        <v>191419.81843100785</v>
      </c>
      <c r="AE136" s="48">
        <v>252</v>
      </c>
      <c r="AF136" s="78"/>
      <c r="AG136" s="50">
        <v>108</v>
      </c>
      <c r="AH136" s="79"/>
      <c r="AI136" s="50">
        <v>495</v>
      </c>
      <c r="AJ136" s="50">
        <v>743</v>
      </c>
      <c r="AK136" s="50">
        <f>300+475</f>
        <v>775</v>
      </c>
      <c r="AL136" s="76"/>
      <c r="AM136" s="72"/>
      <c r="AN136" s="52">
        <v>2.52</v>
      </c>
      <c r="AO136" s="50"/>
      <c r="AP136" s="76"/>
      <c r="AQ136" s="52">
        <v>150</v>
      </c>
      <c r="AR136" s="82">
        <f t="shared" si="33"/>
        <v>3708.5709999999999</v>
      </c>
      <c r="AS136" s="83">
        <f>AR136*E136</f>
        <v>207679.976</v>
      </c>
      <c r="AT136" s="74">
        <f t="shared" si="34"/>
        <v>290.35995658914544</v>
      </c>
      <c r="AU136" s="73">
        <f>IFERROR(AT136*E136,0)</f>
        <v>16260.157568992145</v>
      </c>
      <c r="AV136" s="72" t="str">
        <f>D136</f>
        <v>M30</v>
      </c>
      <c r="AW136" s="72">
        <f>P136/E136</f>
        <v>210.72868217054301</v>
      </c>
      <c r="AX136" s="72">
        <f>Q136/E136</f>
        <v>130.91472868217053</v>
      </c>
      <c r="AY136" s="72">
        <f>R136/E136</f>
        <v>0</v>
      </c>
      <c r="AZ136" s="72">
        <f>S136/E136</f>
        <v>0</v>
      </c>
      <c r="BA136" s="72">
        <f>T136/E136</f>
        <v>500.49612403100775</v>
      </c>
      <c r="BB136" s="72">
        <f>U136/E136</f>
        <v>740.83720930232562</v>
      </c>
      <c r="BC136" s="72">
        <f>V136/E136</f>
        <v>754.01550387596888</v>
      </c>
      <c r="BD136" s="72"/>
      <c r="BE136" s="72">
        <f>X136/E136</f>
        <v>1.3982945736434107</v>
      </c>
      <c r="BF136" s="72">
        <f>Y136/E136</f>
        <v>0</v>
      </c>
      <c r="BG136" s="72">
        <f>AB136/E136</f>
        <v>177.13178294573643</v>
      </c>
      <c r="BH136" s="84">
        <f>Z136/E136</f>
        <v>0</v>
      </c>
      <c r="BI136" s="72"/>
      <c r="BJ136" s="72">
        <f t="shared" si="30"/>
        <v>2515.5223255813958</v>
      </c>
    </row>
    <row r="137" spans="1:62" ht="18.75">
      <c r="A137" s="36">
        <v>45735</v>
      </c>
      <c r="B137" s="60" t="s">
        <v>42</v>
      </c>
      <c r="C137" s="72"/>
      <c r="D137" s="39" t="s">
        <v>43</v>
      </c>
      <c r="E137" s="66">
        <v>36</v>
      </c>
      <c r="F137" s="73"/>
      <c r="G137" s="37" t="s">
        <v>44</v>
      </c>
      <c r="H137" s="42">
        <v>5700</v>
      </c>
      <c r="I137" s="72">
        <f t="shared" si="23"/>
        <v>3708.5709999999999</v>
      </c>
      <c r="J137" s="74">
        <f t="shared" si="24"/>
        <v>3543.3269930232559</v>
      </c>
      <c r="K137" s="74">
        <f t="shared" si="25"/>
        <v>1991.4290000000001</v>
      </c>
      <c r="L137" s="74">
        <f t="shared" si="26"/>
        <v>2156.6730069767441</v>
      </c>
      <c r="M137" s="74">
        <f t="shared" si="27"/>
        <v>0.62163631456548352</v>
      </c>
      <c r="N137" s="74">
        <f t="shared" si="28"/>
        <v>0.65062649122807015</v>
      </c>
      <c r="O137" s="75">
        <f t="shared" si="29"/>
        <v>4.6635268859494518E-2</v>
      </c>
      <c r="P137" s="71">
        <v>8968.1860465116279</v>
      </c>
      <c r="Q137" s="71">
        <v>3982.6046511627906</v>
      </c>
      <c r="R137" s="71">
        <v>0</v>
      </c>
      <c r="S137" s="71">
        <v>0</v>
      </c>
      <c r="T137" s="71">
        <v>17979.906976744187</v>
      </c>
      <c r="U137" s="71">
        <v>26541.209302325584</v>
      </c>
      <c r="V137" s="71">
        <v>26068.186046511626</v>
      </c>
      <c r="W137" s="71">
        <v>0</v>
      </c>
      <c r="X137" s="71">
        <v>64.47348837209303</v>
      </c>
      <c r="Y137" s="71">
        <v>0</v>
      </c>
      <c r="Z137" s="71"/>
      <c r="AA137" s="71">
        <f t="shared" ref="AA137" si="36">+AA138*36</f>
        <v>0</v>
      </c>
      <c r="AB137" s="71">
        <v>6483.3488372093025</v>
      </c>
      <c r="AC137" s="76">
        <f>IFERROR(AD137/E137,0)</f>
        <v>3543.3269930232559</v>
      </c>
      <c r="AD137" s="77">
        <f t="shared" si="32"/>
        <v>127559.77174883721</v>
      </c>
      <c r="AE137" s="48">
        <v>252</v>
      </c>
      <c r="AF137" s="78"/>
      <c r="AG137" s="50">
        <v>108</v>
      </c>
      <c r="AH137" s="79"/>
      <c r="AI137" s="50">
        <v>495</v>
      </c>
      <c r="AJ137" s="50">
        <v>743</v>
      </c>
      <c r="AK137" s="50">
        <f>300+475</f>
        <v>775</v>
      </c>
      <c r="AL137" s="76"/>
      <c r="AM137" s="72"/>
      <c r="AN137" s="52">
        <v>2.52</v>
      </c>
      <c r="AO137" s="50"/>
      <c r="AP137" s="76"/>
      <c r="AQ137" s="52">
        <v>150</v>
      </c>
      <c r="AR137" s="82">
        <f t="shared" si="33"/>
        <v>3708.5709999999999</v>
      </c>
      <c r="AS137" s="83">
        <f>AR137*E137</f>
        <v>133508.55599999998</v>
      </c>
      <c r="AT137" s="74">
        <f t="shared" si="34"/>
        <v>165.244006976744</v>
      </c>
      <c r="AU137" s="73">
        <f>IFERROR(AT137*E137,0)</f>
        <v>5948.7842511627841</v>
      </c>
      <c r="AV137" s="72" t="str">
        <f>D137</f>
        <v>M30</v>
      </c>
      <c r="AW137" s="72">
        <f>P137/E137</f>
        <v>249.11627906976744</v>
      </c>
      <c r="AX137" s="72">
        <f>Q137/E137</f>
        <v>110.62790697674419</v>
      </c>
      <c r="AY137" s="72">
        <f>R137/E137</f>
        <v>0</v>
      </c>
      <c r="AZ137" s="72">
        <f>S137/E137</f>
        <v>0</v>
      </c>
      <c r="BA137" s="72">
        <f>T137/E137</f>
        <v>499.44186046511629</v>
      </c>
      <c r="BB137" s="72">
        <f>U137/E137</f>
        <v>737.25581395348843</v>
      </c>
      <c r="BC137" s="72">
        <f>V137/E137</f>
        <v>724.11627906976742</v>
      </c>
      <c r="BD137" s="72"/>
      <c r="BE137" s="72">
        <f>X137/E137</f>
        <v>1.7909302325581398</v>
      </c>
      <c r="BF137" s="72">
        <f>Y137/E137</f>
        <v>0</v>
      </c>
      <c r="BG137" s="72">
        <f>AB137/E137</f>
        <v>180.09302325581396</v>
      </c>
      <c r="BH137" s="84">
        <f>Z137/E137</f>
        <v>0</v>
      </c>
      <c r="BI137" s="72"/>
      <c r="BJ137" s="72">
        <f t="shared" si="30"/>
        <v>2502.4420930232559</v>
      </c>
    </row>
    <row r="138" spans="1:62" ht="18.75">
      <c r="A138" s="36">
        <v>45735</v>
      </c>
      <c r="B138" s="37" t="s">
        <v>57</v>
      </c>
      <c r="C138" s="72"/>
      <c r="D138" s="39" t="s">
        <v>43</v>
      </c>
      <c r="E138" s="40">
        <v>7</v>
      </c>
      <c r="F138" s="73"/>
      <c r="G138" s="37" t="s">
        <v>58</v>
      </c>
      <c r="H138" s="42">
        <v>5700</v>
      </c>
      <c r="I138" s="72">
        <f t="shared" si="23"/>
        <v>3720.4300000000003</v>
      </c>
      <c r="J138" s="74">
        <f t="shared" si="24"/>
        <v>3543.3269930232564</v>
      </c>
      <c r="K138" s="74">
        <f t="shared" si="25"/>
        <v>1979.5699999999997</v>
      </c>
      <c r="L138" s="74">
        <f t="shared" si="26"/>
        <v>2156.6730069767436</v>
      </c>
      <c r="M138" s="74">
        <f t="shared" si="27"/>
        <v>0.62163631456548363</v>
      </c>
      <c r="N138" s="74">
        <f t="shared" si="28"/>
        <v>0.65270701754385974</v>
      </c>
      <c r="O138" s="75">
        <f t="shared" si="29"/>
        <v>4.9982123390095314E-2</v>
      </c>
      <c r="P138" s="71">
        <v>1743.8139534883721</v>
      </c>
      <c r="Q138" s="71">
        <v>774.39534883720933</v>
      </c>
      <c r="R138" s="81">
        <v>0</v>
      </c>
      <c r="S138" s="81">
        <v>0</v>
      </c>
      <c r="T138" s="71">
        <v>3496.0930232558139</v>
      </c>
      <c r="U138" s="71">
        <v>5160.7906976744189</v>
      </c>
      <c r="V138" s="71">
        <v>5068.8139534883721</v>
      </c>
      <c r="W138" s="71">
        <v>0</v>
      </c>
      <c r="X138" s="71">
        <v>12.536511627906977</v>
      </c>
      <c r="Y138" s="71">
        <v>0</v>
      </c>
      <c r="Z138" s="71"/>
      <c r="AA138" s="71"/>
      <c r="AB138" s="71">
        <v>1260.6511627906978</v>
      </c>
      <c r="AC138" s="76">
        <f>IFERROR(AD138/E138,0)</f>
        <v>3543.3269930232564</v>
      </c>
      <c r="AD138" s="77">
        <f t="shared" si="32"/>
        <v>24803.288951162795</v>
      </c>
      <c r="AE138" s="48">
        <v>270</v>
      </c>
      <c r="AF138" s="78"/>
      <c r="AG138" s="50">
        <v>110</v>
      </c>
      <c r="AH138" s="79"/>
      <c r="AI138" s="50">
        <v>515</v>
      </c>
      <c r="AJ138" s="50">
        <v>750</v>
      </c>
      <c r="AK138" s="50">
        <f>300+350</f>
        <v>650</v>
      </c>
      <c r="AL138" s="76"/>
      <c r="AM138" s="72"/>
      <c r="AN138" s="52">
        <v>2.54</v>
      </c>
      <c r="AO138" s="50"/>
      <c r="AP138" s="76"/>
      <c r="AQ138" s="52">
        <v>150</v>
      </c>
      <c r="AR138" s="82">
        <f t="shared" si="33"/>
        <v>3720.4300000000003</v>
      </c>
      <c r="AS138" s="83">
        <f>AR138*E138</f>
        <v>26043.010000000002</v>
      </c>
      <c r="AT138" s="74">
        <f t="shared" si="34"/>
        <v>177.10300697674393</v>
      </c>
      <c r="AU138" s="73">
        <f>IFERROR(AT138*E138,0)</f>
        <v>1239.7210488372075</v>
      </c>
      <c r="AV138" s="72" t="str">
        <f>D138</f>
        <v>M30</v>
      </c>
      <c r="AW138" s="72">
        <f>P138/E138</f>
        <v>249.11627906976744</v>
      </c>
      <c r="AX138" s="72">
        <f>Q138/E138</f>
        <v>110.62790697674419</v>
      </c>
      <c r="AY138" s="72">
        <f>R138/E138</f>
        <v>0</v>
      </c>
      <c r="AZ138" s="72">
        <f>S138/E138</f>
        <v>0</v>
      </c>
      <c r="BA138" s="72">
        <f>T138/E138</f>
        <v>499.44186046511629</v>
      </c>
      <c r="BB138" s="72">
        <f>U138/E138</f>
        <v>737.25581395348843</v>
      </c>
      <c r="BC138" s="72">
        <f>V138/E138</f>
        <v>724.11627906976742</v>
      </c>
      <c r="BD138" s="72"/>
      <c r="BE138" s="72">
        <f>X138/E138</f>
        <v>1.7909302325581395</v>
      </c>
      <c r="BF138" s="72">
        <f>Y138/E138</f>
        <v>0</v>
      </c>
      <c r="BG138" s="72">
        <f>AB138/E138</f>
        <v>180.09302325581396</v>
      </c>
      <c r="BH138" s="84">
        <f>Z138/E138</f>
        <v>0</v>
      </c>
      <c r="BI138" s="72"/>
      <c r="BJ138" s="72">
        <f t="shared" si="30"/>
        <v>2502.4420930232559</v>
      </c>
    </row>
    <row r="139" spans="1:62" ht="18.75">
      <c r="A139" s="36">
        <v>45736</v>
      </c>
      <c r="B139" s="37" t="s">
        <v>79</v>
      </c>
      <c r="C139" s="72"/>
      <c r="D139" s="39" t="s">
        <v>40</v>
      </c>
      <c r="E139" s="66">
        <v>20</v>
      </c>
      <c r="F139" s="73"/>
      <c r="G139" s="37" t="s">
        <v>41</v>
      </c>
      <c r="H139" s="42">
        <v>5500</v>
      </c>
      <c r="I139" s="72">
        <f t="shared" si="23"/>
        <v>3452.0828000000001</v>
      </c>
      <c r="J139" s="74">
        <f t="shared" si="24"/>
        <v>3335.7846423076926</v>
      </c>
      <c r="K139" s="74">
        <f t="shared" si="25"/>
        <v>2047.9171999999999</v>
      </c>
      <c r="L139" s="74">
        <f t="shared" si="26"/>
        <v>2164.2153576923074</v>
      </c>
      <c r="M139" s="74">
        <f t="shared" si="27"/>
        <v>0.60650629860139871</v>
      </c>
      <c r="N139" s="74">
        <f t="shared" si="28"/>
        <v>0.62765141818181824</v>
      </c>
      <c r="O139" s="75">
        <f t="shared" si="29"/>
        <v>3.486380871753534E-2</v>
      </c>
      <c r="P139" s="71">
        <v>3992.3076923076924</v>
      </c>
      <c r="Q139" s="71">
        <v>2412.6923076923076</v>
      </c>
      <c r="R139" s="71"/>
      <c r="S139" s="71"/>
      <c r="T139" s="71">
        <v>10201.923076923078</v>
      </c>
      <c r="U139" s="71">
        <v>15040.384615384613</v>
      </c>
      <c r="V139" s="71">
        <v>14946.153846153846</v>
      </c>
      <c r="W139" s="71"/>
      <c r="X139" s="71">
        <v>25.623076923076926</v>
      </c>
      <c r="Y139" s="71"/>
      <c r="Z139" s="71"/>
      <c r="AA139" s="71"/>
      <c r="AB139" s="71">
        <v>3473.4615384615386</v>
      </c>
      <c r="AC139" s="76">
        <f>IFERROR(AD139/E139,0)</f>
        <v>3335.7846423076926</v>
      </c>
      <c r="AD139" s="77">
        <f t="shared" si="32"/>
        <v>66715.692846153848</v>
      </c>
      <c r="AE139" s="48">
        <v>224</v>
      </c>
      <c r="AF139" s="78"/>
      <c r="AG139" s="50">
        <v>96</v>
      </c>
      <c r="AH139" s="79"/>
      <c r="AI139" s="50">
        <v>495</v>
      </c>
      <c r="AJ139" s="50">
        <v>740</v>
      </c>
      <c r="AK139" s="50">
        <v>800</v>
      </c>
      <c r="AL139" s="76"/>
      <c r="AM139" s="72"/>
      <c r="AN139" s="50"/>
      <c r="AO139" s="50">
        <v>2.2400000000000002</v>
      </c>
      <c r="AP139" s="76"/>
      <c r="AQ139" s="52">
        <v>155</v>
      </c>
      <c r="AR139" s="82">
        <f t="shared" si="33"/>
        <v>3452.0828000000001</v>
      </c>
      <c r="AS139" s="83">
        <f>AR139*E139</f>
        <v>69041.656000000003</v>
      </c>
      <c r="AT139" s="74">
        <f t="shared" si="34"/>
        <v>116.29815769230754</v>
      </c>
      <c r="AU139" s="73">
        <f>IFERROR(AT139*E139,0)</f>
        <v>2325.9631538461508</v>
      </c>
      <c r="AV139" s="72" t="str">
        <f>D139</f>
        <v>M25</v>
      </c>
      <c r="AW139" s="72">
        <f>P139/E139</f>
        <v>199.61538461538461</v>
      </c>
      <c r="AX139" s="72">
        <f>Q139/E139</f>
        <v>120.63461538461539</v>
      </c>
      <c r="AY139" s="72">
        <f>R139/E139</f>
        <v>0</v>
      </c>
      <c r="AZ139" s="72">
        <f>S139/E139</f>
        <v>0</v>
      </c>
      <c r="BA139" s="72">
        <f>T139/E139</f>
        <v>510.09615384615392</v>
      </c>
      <c r="BB139" s="72">
        <f>U139/E139</f>
        <v>752.01923076923072</v>
      </c>
      <c r="BC139" s="72">
        <f>V139/E139</f>
        <v>747.30769230769226</v>
      </c>
      <c r="BD139" s="72"/>
      <c r="BE139" s="72">
        <f>X139/E139</f>
        <v>1.2811538461538463</v>
      </c>
      <c r="BF139" s="72">
        <f>Y139/E139</f>
        <v>0</v>
      </c>
      <c r="BG139" s="72">
        <f>AB139/E139</f>
        <v>173.67307692307693</v>
      </c>
      <c r="BH139" s="84">
        <f>Z139/E139</f>
        <v>0</v>
      </c>
      <c r="BI139" s="72"/>
      <c r="BJ139" s="72">
        <f t="shared" si="30"/>
        <v>2504.627307692308</v>
      </c>
    </row>
    <row r="140" spans="1:62" ht="18.75">
      <c r="A140" s="36">
        <v>45736</v>
      </c>
      <c r="B140" s="37" t="s">
        <v>79</v>
      </c>
      <c r="C140" s="72"/>
      <c r="D140" s="39" t="s">
        <v>40</v>
      </c>
      <c r="E140" s="66">
        <v>6</v>
      </c>
      <c r="F140" s="73"/>
      <c r="G140" s="37" t="s">
        <v>41</v>
      </c>
      <c r="H140" s="42">
        <v>5500</v>
      </c>
      <c r="I140" s="72">
        <f t="shared" si="23"/>
        <v>3452.0828000000001</v>
      </c>
      <c r="J140" s="74">
        <f t="shared" si="24"/>
        <v>3169.446645</v>
      </c>
      <c r="K140" s="74">
        <f t="shared" si="25"/>
        <v>2047.9171999999999</v>
      </c>
      <c r="L140" s="74">
        <f t="shared" si="26"/>
        <v>2330.553355</v>
      </c>
      <c r="M140" s="74">
        <f t="shared" si="27"/>
        <v>0.57626302636363635</v>
      </c>
      <c r="N140" s="74">
        <f t="shared" si="28"/>
        <v>0.62765141818181824</v>
      </c>
      <c r="O140" s="75">
        <f t="shared" si="29"/>
        <v>8.917523677070778E-2</v>
      </c>
      <c r="P140" s="71">
        <v>829.80000000000007</v>
      </c>
      <c r="Q140" s="71">
        <v>1023.5999999999999</v>
      </c>
      <c r="R140" s="81"/>
      <c r="S140" s="81"/>
      <c r="T140" s="71">
        <v>2997.75</v>
      </c>
      <c r="U140" s="71">
        <v>4500.6000000000004</v>
      </c>
      <c r="V140" s="71">
        <v>4628.1000000000004</v>
      </c>
      <c r="W140" s="71"/>
      <c r="X140" s="71">
        <v>6.6209999999999996</v>
      </c>
      <c r="Y140" s="71"/>
      <c r="Z140" s="71"/>
      <c r="AA140" s="71"/>
      <c r="AB140" s="71">
        <v>1012.9499999999999</v>
      </c>
      <c r="AC140" s="76">
        <f>IFERROR(AD140/E140,0)</f>
        <v>3169.446645</v>
      </c>
      <c r="AD140" s="77">
        <f t="shared" si="32"/>
        <v>19016.67987</v>
      </c>
      <c r="AE140" s="48">
        <v>224</v>
      </c>
      <c r="AF140" s="78"/>
      <c r="AG140" s="50">
        <v>96</v>
      </c>
      <c r="AH140" s="79"/>
      <c r="AI140" s="50">
        <v>495</v>
      </c>
      <c r="AJ140" s="50">
        <v>740</v>
      </c>
      <c r="AK140" s="50">
        <v>800</v>
      </c>
      <c r="AL140" s="76"/>
      <c r="AM140" s="72"/>
      <c r="AN140" s="50"/>
      <c r="AO140" s="50">
        <v>2.2400000000000002</v>
      </c>
      <c r="AP140" s="76"/>
      <c r="AQ140" s="52">
        <v>155</v>
      </c>
      <c r="AR140" s="82">
        <f t="shared" si="33"/>
        <v>3452.0828000000001</v>
      </c>
      <c r="AS140" s="83">
        <f>AR140*E140</f>
        <v>20712.496800000001</v>
      </c>
      <c r="AT140" s="74">
        <f t="shared" si="34"/>
        <v>282.63615500000014</v>
      </c>
      <c r="AU140" s="73">
        <f>IFERROR(AT140*E140,0)</f>
        <v>1695.8169300000009</v>
      </c>
      <c r="AV140" s="72" t="str">
        <f>D140</f>
        <v>M25</v>
      </c>
      <c r="AW140" s="72">
        <f>P140/E140</f>
        <v>138.30000000000001</v>
      </c>
      <c r="AX140" s="72">
        <f>Q140/E140</f>
        <v>170.6</v>
      </c>
      <c r="AY140" s="72">
        <f>R140/E140</f>
        <v>0</v>
      </c>
      <c r="AZ140" s="72">
        <f>S140/E140</f>
        <v>0</v>
      </c>
      <c r="BA140" s="72">
        <f>T140/E140</f>
        <v>499.625</v>
      </c>
      <c r="BB140" s="72">
        <f>U140/E140</f>
        <v>750.1</v>
      </c>
      <c r="BC140" s="72">
        <f>V140/E140</f>
        <v>771.35</v>
      </c>
      <c r="BD140" s="72"/>
      <c r="BE140" s="72">
        <f>X140/E140</f>
        <v>1.1034999999999999</v>
      </c>
      <c r="BF140" s="72">
        <f>Y140/E140</f>
        <v>0</v>
      </c>
      <c r="BG140" s="72">
        <f>AB140/E140</f>
        <v>168.82499999999999</v>
      </c>
      <c r="BH140" s="84">
        <f>Z140/E140</f>
        <v>0</v>
      </c>
      <c r="BI140" s="72"/>
      <c r="BJ140" s="72">
        <f t="shared" si="30"/>
        <v>2499.9034999999999</v>
      </c>
    </row>
    <row r="141" spans="1:62" ht="18.75">
      <c r="A141" s="36">
        <v>45736</v>
      </c>
      <c r="B141" s="37" t="s">
        <v>88</v>
      </c>
      <c r="C141" s="72"/>
      <c r="D141" s="39" t="s">
        <v>40</v>
      </c>
      <c r="E141" s="40">
        <v>32</v>
      </c>
      <c r="F141" s="73"/>
      <c r="G141" s="37" t="s">
        <v>41</v>
      </c>
      <c r="H141" s="42">
        <v>5850</v>
      </c>
      <c r="I141" s="72">
        <f t="shared" si="23"/>
        <v>3722.73</v>
      </c>
      <c r="J141" s="74">
        <f t="shared" si="24"/>
        <v>3335.7846423076926</v>
      </c>
      <c r="K141" s="74">
        <f t="shared" si="25"/>
        <v>2127.27</v>
      </c>
      <c r="L141" s="74">
        <f t="shared" si="26"/>
        <v>2514.2153576923074</v>
      </c>
      <c r="M141" s="74">
        <f t="shared" si="27"/>
        <v>0.57021959697567393</v>
      </c>
      <c r="N141" s="74">
        <f t="shared" si="28"/>
        <v>0.63636410256410259</v>
      </c>
      <c r="O141" s="75">
        <f t="shared" si="29"/>
        <v>0.11599830300334354</v>
      </c>
      <c r="P141" s="71">
        <v>6387.6923076923076</v>
      </c>
      <c r="Q141" s="71">
        <v>3860.3076923076924</v>
      </c>
      <c r="R141" s="81"/>
      <c r="S141" s="81"/>
      <c r="T141" s="71">
        <v>16323.076923076924</v>
      </c>
      <c r="U141" s="71">
        <v>24064.615384615383</v>
      </c>
      <c r="V141" s="71">
        <v>23913.846153846152</v>
      </c>
      <c r="W141" s="71"/>
      <c r="X141" s="71">
        <v>40.996923076923082</v>
      </c>
      <c r="Y141" s="71"/>
      <c r="Z141" s="71"/>
      <c r="AA141" s="71"/>
      <c r="AB141" s="71">
        <v>5557.5384615384619</v>
      </c>
      <c r="AC141" s="76">
        <f>IFERROR(AD141/E141,0)</f>
        <v>3335.7846423076926</v>
      </c>
      <c r="AD141" s="77">
        <f t="shared" si="32"/>
        <v>106745.10855384616</v>
      </c>
      <c r="AE141" s="48">
        <v>280</v>
      </c>
      <c r="AF141" s="78"/>
      <c r="AG141" s="50">
        <v>70</v>
      </c>
      <c r="AH141" s="79"/>
      <c r="AI141" s="50">
        <v>490</v>
      </c>
      <c r="AJ141" s="50">
        <v>740</v>
      </c>
      <c r="AK141" s="50">
        <v>770</v>
      </c>
      <c r="AL141" s="76"/>
      <c r="AM141" s="72"/>
      <c r="AN141" s="52">
        <v>2.4500000000000002</v>
      </c>
      <c r="AO141" s="50"/>
      <c r="AP141" s="76"/>
      <c r="AQ141" s="52">
        <v>158</v>
      </c>
      <c r="AR141" s="82">
        <f t="shared" si="33"/>
        <v>3722.73</v>
      </c>
      <c r="AS141" s="83">
        <f>AR141*E141</f>
        <v>119127.36</v>
      </c>
      <c r="AT141" s="74">
        <f t="shared" si="34"/>
        <v>386.94535769230743</v>
      </c>
      <c r="AU141" s="73">
        <f>IFERROR(AT141*E141,0)</f>
        <v>12382.251446153838</v>
      </c>
      <c r="AV141" s="72" t="str">
        <f>D141</f>
        <v>M25</v>
      </c>
      <c r="AW141" s="72">
        <f>P141/E141</f>
        <v>199.61538461538461</v>
      </c>
      <c r="AX141" s="72">
        <f>Q141/E141</f>
        <v>120.63461538461539</v>
      </c>
      <c r="AY141" s="72">
        <f>R141/E141</f>
        <v>0</v>
      </c>
      <c r="AZ141" s="72">
        <f>S141/E141</f>
        <v>0</v>
      </c>
      <c r="BA141" s="72">
        <f>T141/E141</f>
        <v>510.09615384615387</v>
      </c>
      <c r="BB141" s="72">
        <f>U141/E141</f>
        <v>752.01923076923072</v>
      </c>
      <c r="BC141" s="72">
        <f>V141/E141</f>
        <v>747.30769230769226</v>
      </c>
      <c r="BD141" s="72"/>
      <c r="BE141" s="72">
        <f>X141/E141</f>
        <v>1.2811538461538463</v>
      </c>
      <c r="BF141" s="72">
        <f>Y141/E141</f>
        <v>0</v>
      </c>
      <c r="BG141" s="72">
        <f>AB141/E141</f>
        <v>173.67307692307693</v>
      </c>
      <c r="BH141" s="84">
        <f>Z141/E141</f>
        <v>0</v>
      </c>
      <c r="BI141" s="72"/>
      <c r="BJ141" s="72">
        <f t="shared" si="30"/>
        <v>2504.6273076923076</v>
      </c>
    </row>
    <row r="142" spans="1:62" ht="18.75">
      <c r="A142" s="36">
        <v>45736</v>
      </c>
      <c r="B142" s="37" t="s">
        <v>88</v>
      </c>
      <c r="C142" s="72"/>
      <c r="D142" s="39" t="s">
        <v>40</v>
      </c>
      <c r="E142" s="40">
        <v>34</v>
      </c>
      <c r="F142" s="73"/>
      <c r="G142" s="37" t="s">
        <v>41</v>
      </c>
      <c r="H142" s="42">
        <v>5850</v>
      </c>
      <c r="I142" s="72">
        <f t="shared" si="23"/>
        <v>3722.73</v>
      </c>
      <c r="J142" s="74">
        <f t="shared" si="24"/>
        <v>3169.446645</v>
      </c>
      <c r="K142" s="74">
        <f t="shared" si="25"/>
        <v>2127.27</v>
      </c>
      <c r="L142" s="74">
        <f t="shared" si="26"/>
        <v>2680.553355</v>
      </c>
      <c r="M142" s="74">
        <f t="shared" si="27"/>
        <v>0.54178575128205131</v>
      </c>
      <c r="N142" s="74">
        <f t="shared" si="28"/>
        <v>0.63636410256410259</v>
      </c>
      <c r="O142" s="75">
        <f t="shared" si="29"/>
        <v>0.17456780850778447</v>
      </c>
      <c r="P142" s="71">
        <v>4702.2000000000007</v>
      </c>
      <c r="Q142" s="71">
        <v>5800.4</v>
      </c>
      <c r="R142" s="71"/>
      <c r="S142" s="71"/>
      <c r="T142" s="71">
        <v>16987.25</v>
      </c>
      <c r="U142" s="71">
        <v>25503.4</v>
      </c>
      <c r="V142" s="71">
        <v>26225.9</v>
      </c>
      <c r="W142" s="71"/>
      <c r="X142" s="71">
        <v>37.518999999999998</v>
      </c>
      <c r="Y142" s="71"/>
      <c r="Z142" s="71"/>
      <c r="AA142" s="71"/>
      <c r="AB142" s="71">
        <v>5740.0499999999993</v>
      </c>
      <c r="AC142" s="76">
        <f>IFERROR(AD142/E142,0)</f>
        <v>3169.446645</v>
      </c>
      <c r="AD142" s="77">
        <f t="shared" si="32"/>
        <v>107761.18593000001</v>
      </c>
      <c r="AE142" s="48">
        <v>280</v>
      </c>
      <c r="AF142" s="78"/>
      <c r="AG142" s="50">
        <v>70</v>
      </c>
      <c r="AH142" s="79"/>
      <c r="AI142" s="50">
        <v>490</v>
      </c>
      <c r="AJ142" s="50">
        <v>740</v>
      </c>
      <c r="AK142" s="50">
        <v>770</v>
      </c>
      <c r="AL142" s="76"/>
      <c r="AM142" s="72"/>
      <c r="AN142" s="52">
        <v>2.4500000000000002</v>
      </c>
      <c r="AO142" s="50"/>
      <c r="AP142" s="76"/>
      <c r="AQ142" s="52">
        <v>158</v>
      </c>
      <c r="AR142" s="82">
        <f t="shared" si="33"/>
        <v>3722.73</v>
      </c>
      <c r="AS142" s="83">
        <f>AR142*E142</f>
        <v>126572.82</v>
      </c>
      <c r="AT142" s="74">
        <f t="shared" si="34"/>
        <v>553.28335500000003</v>
      </c>
      <c r="AU142" s="73">
        <f>IFERROR(AT142*E142,0)</f>
        <v>18811.63407</v>
      </c>
      <c r="AV142" s="72" t="str">
        <f>D142</f>
        <v>M25</v>
      </c>
      <c r="AW142" s="72">
        <f>P142/E142</f>
        <v>138.30000000000001</v>
      </c>
      <c r="AX142" s="72">
        <f>Q142/E142</f>
        <v>170.6</v>
      </c>
      <c r="AY142" s="72">
        <f>R142/E142</f>
        <v>0</v>
      </c>
      <c r="AZ142" s="72">
        <f>S142/E142</f>
        <v>0</v>
      </c>
      <c r="BA142" s="72">
        <f>T142/E142</f>
        <v>499.625</v>
      </c>
      <c r="BB142" s="72">
        <f>U142/E142</f>
        <v>750.1</v>
      </c>
      <c r="BC142" s="72">
        <f>V142/E142</f>
        <v>771.35</v>
      </c>
      <c r="BD142" s="72"/>
      <c r="BE142" s="72">
        <f>X142/E142</f>
        <v>1.1034999999999999</v>
      </c>
      <c r="BF142" s="72">
        <f>Y142/E142</f>
        <v>0</v>
      </c>
      <c r="BG142" s="72">
        <f>AB142/E142</f>
        <v>168.82499999999999</v>
      </c>
      <c r="BH142" s="84">
        <f>Z142/E142</f>
        <v>0</v>
      </c>
      <c r="BI142" s="72"/>
      <c r="BJ142" s="72">
        <f t="shared" si="30"/>
        <v>2499.9034999999999</v>
      </c>
    </row>
    <row r="143" spans="1:62" ht="18.75">
      <c r="A143" s="36">
        <v>45736</v>
      </c>
      <c r="B143" s="37" t="s">
        <v>84</v>
      </c>
      <c r="C143" s="72"/>
      <c r="D143" s="39" t="s">
        <v>43</v>
      </c>
      <c r="E143" s="66">
        <v>3.5</v>
      </c>
      <c r="F143" s="73"/>
      <c r="G143" s="37" t="s">
        <v>44</v>
      </c>
      <c r="H143" s="42">
        <v>5465</v>
      </c>
      <c r="I143" s="72">
        <f t="shared" si="23"/>
        <v>3627.3514</v>
      </c>
      <c r="J143" s="74">
        <f t="shared" si="24"/>
        <v>3411.4769255813953</v>
      </c>
      <c r="K143" s="74">
        <f t="shared" si="25"/>
        <v>1837.6486</v>
      </c>
      <c r="L143" s="74">
        <f t="shared" si="26"/>
        <v>2053.5230744186047</v>
      </c>
      <c r="M143" s="74">
        <f t="shared" si="27"/>
        <v>0.62424097448881888</v>
      </c>
      <c r="N143" s="74">
        <f t="shared" si="28"/>
        <v>0.66374225068618486</v>
      </c>
      <c r="O143" s="75">
        <f t="shared" si="29"/>
        <v>6.3278890383177688E-2</v>
      </c>
      <c r="P143" s="71">
        <v>737.71317829457359</v>
      </c>
      <c r="Q143" s="71">
        <v>457.71317829457359</v>
      </c>
      <c r="R143" s="81"/>
      <c r="S143" s="81"/>
      <c r="T143" s="71">
        <v>1743.7054263565892</v>
      </c>
      <c r="U143" s="71">
        <v>2646.9767441860467</v>
      </c>
      <c r="V143" s="71">
        <v>2570.6821705426355</v>
      </c>
      <c r="W143" s="71"/>
      <c r="X143" s="71">
        <v>4.9331007751937985</v>
      </c>
      <c r="Y143" s="71"/>
      <c r="Z143" s="71"/>
      <c r="AA143" s="71"/>
      <c r="AB143" s="71">
        <v>579.31782945736427</v>
      </c>
      <c r="AC143" s="76">
        <f>IFERROR(AD143/E143,0)</f>
        <v>3411.4769255813953</v>
      </c>
      <c r="AD143" s="77">
        <f t="shared" si="32"/>
        <v>11940.169239534884</v>
      </c>
      <c r="AE143" s="48">
        <v>252</v>
      </c>
      <c r="AF143" s="78"/>
      <c r="AG143" s="50">
        <v>108</v>
      </c>
      <c r="AH143" s="79"/>
      <c r="AI143" s="50">
        <v>495</v>
      </c>
      <c r="AJ143" s="50">
        <v>743</v>
      </c>
      <c r="AK143" s="50">
        <f>300+475</f>
        <v>775</v>
      </c>
      <c r="AL143" s="76"/>
      <c r="AM143" s="72"/>
      <c r="AN143" s="50"/>
      <c r="AO143" s="50">
        <v>2.52</v>
      </c>
      <c r="AP143" s="76"/>
      <c r="AQ143" s="52">
        <v>150</v>
      </c>
      <c r="AR143" s="82">
        <f t="shared" si="33"/>
        <v>3627.3514</v>
      </c>
      <c r="AS143" s="83">
        <f>AR143*E143</f>
        <v>12695.7299</v>
      </c>
      <c r="AT143" s="74">
        <f t="shared" si="34"/>
        <v>215.87447441860468</v>
      </c>
      <c r="AU143" s="73">
        <f>IFERROR(AT143*E143,0)</f>
        <v>755.56066046511637</v>
      </c>
      <c r="AV143" s="72" t="str">
        <f>D143</f>
        <v>M30</v>
      </c>
      <c r="AW143" s="72">
        <f>P143/E143</f>
        <v>210.77519379844961</v>
      </c>
      <c r="AX143" s="72">
        <f>Q143/E143</f>
        <v>130.77519379844961</v>
      </c>
      <c r="AY143" s="72">
        <f>R143/E143</f>
        <v>0</v>
      </c>
      <c r="AZ143" s="72">
        <f>S143/E143</f>
        <v>0</v>
      </c>
      <c r="BA143" s="72">
        <f>T143/E143</f>
        <v>498.20155038759691</v>
      </c>
      <c r="BB143" s="72">
        <f>U143/E143</f>
        <v>756.27906976744191</v>
      </c>
      <c r="BC143" s="72">
        <f>V143/E143</f>
        <v>734.48062015503876</v>
      </c>
      <c r="BD143" s="72"/>
      <c r="BE143" s="72">
        <f>X143/E143</f>
        <v>1.4094573643410853</v>
      </c>
      <c r="BF143" s="72">
        <f>Y143/E143</f>
        <v>0</v>
      </c>
      <c r="BG143" s="72">
        <f>AB143/E143</f>
        <v>165.51937984496121</v>
      </c>
      <c r="BH143" s="84">
        <f>Z143/E143</f>
        <v>0</v>
      </c>
      <c r="BI143" s="72"/>
      <c r="BJ143" s="72">
        <f t="shared" si="30"/>
        <v>2497.440465116279</v>
      </c>
    </row>
    <row r="144" spans="1:62" ht="18.75">
      <c r="A144" s="36">
        <v>45736</v>
      </c>
      <c r="B144" s="37" t="s">
        <v>54</v>
      </c>
      <c r="C144" s="72"/>
      <c r="D144" s="39" t="s">
        <v>43</v>
      </c>
      <c r="E144" s="66">
        <v>61</v>
      </c>
      <c r="F144" s="73"/>
      <c r="G144" s="37" t="s">
        <v>44</v>
      </c>
      <c r="H144" s="42">
        <v>6000</v>
      </c>
      <c r="I144" s="72">
        <f t="shared" si="23"/>
        <v>3611.5942</v>
      </c>
      <c r="J144" s="74">
        <f t="shared" si="24"/>
        <v>3411.4769255813958</v>
      </c>
      <c r="K144" s="74">
        <f t="shared" si="25"/>
        <v>2388.4058</v>
      </c>
      <c r="L144" s="74">
        <f t="shared" si="26"/>
        <v>2588.5230744186042</v>
      </c>
      <c r="M144" s="74">
        <f t="shared" si="27"/>
        <v>0.56857948759689925</v>
      </c>
      <c r="N144" s="74">
        <f t="shared" si="28"/>
        <v>0.60193236666666672</v>
      </c>
      <c r="O144" s="75">
        <f t="shared" si="29"/>
        <v>5.8660011128318028E-2</v>
      </c>
      <c r="P144" s="71">
        <v>12857.286821705426</v>
      </c>
      <c r="Q144" s="71">
        <v>7977.2868217054256</v>
      </c>
      <c r="R144" s="81"/>
      <c r="S144" s="81"/>
      <c r="T144" s="71">
        <v>30390.294573643412</v>
      </c>
      <c r="U144" s="71">
        <v>46133.023255813954</v>
      </c>
      <c r="V144" s="71">
        <v>44803.317829457366</v>
      </c>
      <c r="W144" s="71"/>
      <c r="X144" s="71">
        <v>85.976899224806203</v>
      </c>
      <c r="Y144" s="71"/>
      <c r="Z144" s="71"/>
      <c r="AA144" s="71"/>
      <c r="AB144" s="71">
        <v>10096.682170542636</v>
      </c>
      <c r="AC144" s="76">
        <f>IFERROR(AD144/E144,0)</f>
        <v>3411.4769255813958</v>
      </c>
      <c r="AD144" s="77">
        <f t="shared" si="32"/>
        <v>208100.09246046515</v>
      </c>
      <c r="AE144" s="48">
        <v>252</v>
      </c>
      <c r="AF144" s="78"/>
      <c r="AG144" s="50">
        <v>108</v>
      </c>
      <c r="AH144" s="79"/>
      <c r="AI144" s="50">
        <v>495</v>
      </c>
      <c r="AJ144" s="50">
        <v>743</v>
      </c>
      <c r="AK144" s="50">
        <f>300+475</f>
        <v>775</v>
      </c>
      <c r="AL144" s="76"/>
      <c r="AM144" s="72"/>
      <c r="AN144" s="50"/>
      <c r="AO144" s="50">
        <v>2.16</v>
      </c>
      <c r="AP144" s="76"/>
      <c r="AQ144" s="52">
        <v>150</v>
      </c>
      <c r="AR144" s="82">
        <f t="shared" si="33"/>
        <v>3611.5942</v>
      </c>
      <c r="AS144" s="83">
        <f>AR144*E144</f>
        <v>220307.24619999999</v>
      </c>
      <c r="AT144" s="74">
        <f t="shared" si="34"/>
        <v>200.11727441860421</v>
      </c>
      <c r="AU144" s="73">
        <f>IFERROR(AT144*E144,0)</f>
        <v>12207.153739534857</v>
      </c>
      <c r="AV144" s="72" t="str">
        <f>D144</f>
        <v>M30</v>
      </c>
      <c r="AW144" s="72">
        <f>P144/E144</f>
        <v>210.77519379844961</v>
      </c>
      <c r="AX144" s="72">
        <f>Q144/E144</f>
        <v>130.77519379844961</v>
      </c>
      <c r="AY144" s="72">
        <f>R144/E144</f>
        <v>0</v>
      </c>
      <c r="AZ144" s="72">
        <f>S144/E144</f>
        <v>0</v>
      </c>
      <c r="BA144" s="72">
        <f>T144/E144</f>
        <v>498.20155038759691</v>
      </c>
      <c r="BB144" s="72">
        <f>U144/E144</f>
        <v>756.27906976744191</v>
      </c>
      <c r="BC144" s="72">
        <f>V144/E144</f>
        <v>734.48062015503876</v>
      </c>
      <c r="BD144" s="72"/>
      <c r="BE144" s="72">
        <f>X144/E144</f>
        <v>1.4094573643410853</v>
      </c>
      <c r="BF144" s="72">
        <f>Y144/E144</f>
        <v>0</v>
      </c>
      <c r="BG144" s="72">
        <f>AB144/E144</f>
        <v>165.51937984496124</v>
      </c>
      <c r="BH144" s="84">
        <f>Z144/E144</f>
        <v>0</v>
      </c>
      <c r="BI144" s="72"/>
      <c r="BJ144" s="72">
        <f t="shared" si="30"/>
        <v>2497.440465116279</v>
      </c>
    </row>
    <row r="145" spans="1:62" ht="18.75">
      <c r="A145" s="36">
        <v>45736</v>
      </c>
      <c r="B145" s="37" t="s">
        <v>54</v>
      </c>
      <c r="C145" s="72"/>
      <c r="D145" s="39" t="s">
        <v>43</v>
      </c>
      <c r="E145" s="66">
        <v>40</v>
      </c>
      <c r="F145" s="73"/>
      <c r="G145" s="37" t="s">
        <v>44</v>
      </c>
      <c r="H145" s="42">
        <v>6000</v>
      </c>
      <c r="I145" s="72">
        <f t="shared" si="23"/>
        <v>3611.5942</v>
      </c>
      <c r="J145" s="74">
        <f t="shared" si="24"/>
        <v>3556.5599425</v>
      </c>
      <c r="K145" s="74">
        <f t="shared" si="25"/>
        <v>2388.4058</v>
      </c>
      <c r="L145" s="74">
        <f t="shared" si="26"/>
        <v>2443.4400575</v>
      </c>
      <c r="M145" s="74">
        <f t="shared" si="27"/>
        <v>0.59275999041666672</v>
      </c>
      <c r="N145" s="74">
        <f t="shared" si="28"/>
        <v>0.60193236666666672</v>
      </c>
      <c r="O145" s="75">
        <f t="shared" si="29"/>
        <v>1.5474013763230708E-2</v>
      </c>
      <c r="P145" s="71">
        <v>9974</v>
      </c>
      <c r="Q145" s="71">
        <v>4426</v>
      </c>
      <c r="R145" s="81"/>
      <c r="S145" s="81"/>
      <c r="T145" s="71">
        <v>20544</v>
      </c>
      <c r="U145" s="71">
        <v>30060</v>
      </c>
      <c r="V145" s="71">
        <v>28409</v>
      </c>
      <c r="W145" s="71"/>
      <c r="X145" s="71">
        <v>71.81</v>
      </c>
      <c r="Y145" s="71"/>
      <c r="Z145" s="71"/>
      <c r="AA145" s="71"/>
      <c r="AB145" s="71">
        <v>6603</v>
      </c>
      <c r="AC145" s="76">
        <f>IFERROR(AD145/E145,0)</f>
        <v>3556.5599425</v>
      </c>
      <c r="AD145" s="77">
        <f t="shared" si="32"/>
        <v>142262.3977</v>
      </c>
      <c r="AE145" s="48">
        <v>252</v>
      </c>
      <c r="AF145" s="78"/>
      <c r="AG145" s="50">
        <v>108</v>
      </c>
      <c r="AH145" s="79"/>
      <c r="AI145" s="50">
        <v>495</v>
      </c>
      <c r="AJ145" s="50">
        <v>743</v>
      </c>
      <c r="AK145" s="50">
        <f>300+475</f>
        <v>775</v>
      </c>
      <c r="AL145" s="76"/>
      <c r="AM145" s="72"/>
      <c r="AN145" s="50"/>
      <c r="AO145" s="50">
        <v>2.16</v>
      </c>
      <c r="AP145" s="76"/>
      <c r="AQ145" s="52">
        <v>150</v>
      </c>
      <c r="AR145" s="82">
        <f t="shared" si="33"/>
        <v>3611.5942</v>
      </c>
      <c r="AS145" s="83">
        <f>AR145*E145</f>
        <v>144463.76800000001</v>
      </c>
      <c r="AT145" s="74">
        <f t="shared" si="34"/>
        <v>55.034257499999967</v>
      </c>
      <c r="AU145" s="73">
        <f>IFERROR(AT145*E145,0)</f>
        <v>2201.3702999999987</v>
      </c>
      <c r="AV145" s="72" t="str">
        <f>D145</f>
        <v>M30</v>
      </c>
      <c r="AW145" s="72">
        <f>P145/E145</f>
        <v>249.35</v>
      </c>
      <c r="AX145" s="72">
        <f>Q145/E145</f>
        <v>110.65</v>
      </c>
      <c r="AY145" s="72">
        <f>R145/E145</f>
        <v>0</v>
      </c>
      <c r="AZ145" s="72">
        <f>S145/E145</f>
        <v>0</v>
      </c>
      <c r="BA145" s="72">
        <f>T145/E145</f>
        <v>513.6</v>
      </c>
      <c r="BB145" s="72">
        <f>U145/E145</f>
        <v>751.5</v>
      </c>
      <c r="BC145" s="72">
        <f>V145/E145</f>
        <v>710.22500000000002</v>
      </c>
      <c r="BD145" s="72"/>
      <c r="BE145" s="72">
        <f>X145/E145</f>
        <v>1.79525</v>
      </c>
      <c r="BF145" s="72">
        <f>Y145/E145</f>
        <v>0</v>
      </c>
      <c r="BG145" s="72">
        <f>AB145/E145</f>
        <v>165.07499999999999</v>
      </c>
      <c r="BH145" s="84">
        <f>Z145/E145</f>
        <v>0</v>
      </c>
      <c r="BI145" s="72"/>
      <c r="BJ145" s="72">
        <f t="shared" si="30"/>
        <v>2502.1952499999998</v>
      </c>
    </row>
    <row r="146" spans="1:62" ht="18.75">
      <c r="A146" s="36">
        <v>45737</v>
      </c>
      <c r="B146" s="37" t="s">
        <v>60</v>
      </c>
      <c r="C146" s="72"/>
      <c r="D146" s="39" t="s">
        <v>37</v>
      </c>
      <c r="E146" s="40">
        <v>9</v>
      </c>
      <c r="F146" s="73"/>
      <c r="G146" s="37" t="s">
        <v>38</v>
      </c>
      <c r="H146" s="42">
        <v>5900</v>
      </c>
      <c r="I146" s="72">
        <f t="shared" si="23"/>
        <v>3382.0320000000002</v>
      </c>
      <c r="J146" s="74">
        <f t="shared" si="24"/>
        <v>3058.7523222222226</v>
      </c>
      <c r="K146" s="74">
        <f t="shared" si="25"/>
        <v>2517.9679999999998</v>
      </c>
      <c r="L146" s="74">
        <f t="shared" si="26"/>
        <v>2841.2476777777774</v>
      </c>
      <c r="M146" s="74">
        <f t="shared" si="27"/>
        <v>0.51843259698681743</v>
      </c>
      <c r="N146" s="74">
        <f t="shared" si="28"/>
        <v>0.57322576271186443</v>
      </c>
      <c r="O146" s="75">
        <f t="shared" si="29"/>
        <v>0.1056900473533308</v>
      </c>
      <c r="P146" s="71">
        <v>1181</v>
      </c>
      <c r="Q146" s="71">
        <v>1177</v>
      </c>
      <c r="R146" s="81"/>
      <c r="S146" s="81"/>
      <c r="T146" s="71">
        <v>4438</v>
      </c>
      <c r="U146" s="71">
        <v>6569</v>
      </c>
      <c r="V146" s="71">
        <v>7657</v>
      </c>
      <c r="W146" s="71"/>
      <c r="X146" s="71">
        <v>9.9700000000000006</v>
      </c>
      <c r="Y146" s="71"/>
      <c r="Z146" s="71"/>
      <c r="AA146" s="71"/>
      <c r="AB146" s="71">
        <v>1493</v>
      </c>
      <c r="AC146" s="76">
        <f>IFERROR(AD146/E146,0)</f>
        <v>3058.7523222222226</v>
      </c>
      <c r="AD146" s="77">
        <f t="shared" si="32"/>
        <v>27528.770900000003</v>
      </c>
      <c r="AE146" s="48">
        <v>210</v>
      </c>
      <c r="AF146" s="78"/>
      <c r="AG146" s="50">
        <v>90</v>
      </c>
      <c r="AH146" s="79"/>
      <c r="AI146" s="50">
        <v>500</v>
      </c>
      <c r="AJ146" s="50">
        <v>755</v>
      </c>
      <c r="AK146" s="50">
        <v>810</v>
      </c>
      <c r="AL146" s="76"/>
      <c r="AM146" s="72"/>
      <c r="AN146" s="52"/>
      <c r="AO146" s="52">
        <v>2.1</v>
      </c>
      <c r="AP146" s="76"/>
      <c r="AQ146" s="52">
        <v>159</v>
      </c>
      <c r="AR146" s="82">
        <f t="shared" si="33"/>
        <v>3382.0320000000002</v>
      </c>
      <c r="AS146" s="83">
        <f>AR146*E146</f>
        <v>30438.288</v>
      </c>
      <c r="AT146" s="74">
        <f t="shared" si="34"/>
        <v>323.27967777777758</v>
      </c>
      <c r="AU146" s="73">
        <f>IFERROR(AT146*E146,0)</f>
        <v>2909.5170999999982</v>
      </c>
      <c r="AV146" s="72" t="str">
        <f>D146</f>
        <v>M20</v>
      </c>
      <c r="AW146" s="72">
        <f>P146/E146</f>
        <v>131.22222222222223</v>
      </c>
      <c r="AX146" s="72">
        <f>Q146/E146</f>
        <v>130.77777777777777</v>
      </c>
      <c r="AY146" s="72">
        <f>R146/E146</f>
        <v>0</v>
      </c>
      <c r="AZ146" s="72">
        <f>S146/E146</f>
        <v>0</v>
      </c>
      <c r="BA146" s="72">
        <f>T146/E146</f>
        <v>493.11111111111109</v>
      </c>
      <c r="BB146" s="72">
        <f>U146/E146</f>
        <v>729.88888888888891</v>
      </c>
      <c r="BC146" s="72">
        <f>V146/E146</f>
        <v>850.77777777777783</v>
      </c>
      <c r="BD146" s="72"/>
      <c r="BE146" s="72">
        <f>X146/E146</f>
        <v>1.1077777777777778</v>
      </c>
      <c r="BF146" s="72">
        <f>Y146/E146</f>
        <v>0</v>
      </c>
      <c r="BG146" s="72">
        <f>AB146/E146</f>
        <v>165.88888888888889</v>
      </c>
      <c r="BH146" s="84">
        <f>Z146/E146</f>
        <v>0</v>
      </c>
      <c r="BI146" s="72"/>
      <c r="BJ146" s="72">
        <f t="shared" si="30"/>
        <v>2502.7744444444443</v>
      </c>
    </row>
    <row r="147" spans="1:62" ht="18.75">
      <c r="A147" s="36">
        <v>45737</v>
      </c>
      <c r="B147" s="37" t="s">
        <v>102</v>
      </c>
      <c r="C147" s="72"/>
      <c r="D147" s="39" t="s">
        <v>40</v>
      </c>
      <c r="E147" s="40">
        <v>4</v>
      </c>
      <c r="F147" s="73"/>
      <c r="G147" s="37" t="s">
        <v>41</v>
      </c>
      <c r="H147" s="42">
        <v>5800</v>
      </c>
      <c r="I147" s="72">
        <f t="shared" si="23"/>
        <v>3452.0828000000001</v>
      </c>
      <c r="J147" s="74">
        <f t="shared" si="24"/>
        <v>3164.27385</v>
      </c>
      <c r="K147" s="74">
        <f t="shared" si="25"/>
        <v>2347.9171999999999</v>
      </c>
      <c r="L147" s="74">
        <f t="shared" si="26"/>
        <v>2635.72615</v>
      </c>
      <c r="M147" s="74">
        <f t="shared" si="27"/>
        <v>0.54556445689655175</v>
      </c>
      <c r="N147" s="74">
        <f t="shared" si="28"/>
        <v>0.59518668965517241</v>
      </c>
      <c r="O147" s="75">
        <f t="shared" si="29"/>
        <v>9.0955765412023298E-2</v>
      </c>
      <c r="P147" s="71">
        <f>321+232</f>
        <v>553</v>
      </c>
      <c r="Q147" s="71">
        <v>683</v>
      </c>
      <c r="R147" s="81"/>
      <c r="S147" s="81"/>
      <c r="T147" s="71">
        <v>1993</v>
      </c>
      <c r="U147" s="71">
        <v>2949</v>
      </c>
      <c r="V147" s="71">
        <f>1555+1561</f>
        <v>3116</v>
      </c>
      <c r="W147" s="71"/>
      <c r="X147" s="71">
        <v>4.42</v>
      </c>
      <c r="Y147" s="71"/>
      <c r="Z147" s="71"/>
      <c r="AA147" s="71"/>
      <c r="AB147" s="71">
        <v>699</v>
      </c>
      <c r="AC147" s="76">
        <f>IFERROR(AD147/E147,0)</f>
        <v>3164.27385</v>
      </c>
      <c r="AD147" s="77">
        <f t="shared" si="32"/>
        <v>12657.0954</v>
      </c>
      <c r="AE147" s="48">
        <v>224</v>
      </c>
      <c r="AF147" s="78"/>
      <c r="AG147" s="50">
        <v>96</v>
      </c>
      <c r="AH147" s="79"/>
      <c r="AI147" s="50">
        <v>495</v>
      </c>
      <c r="AJ147" s="50">
        <v>740</v>
      </c>
      <c r="AK147" s="50">
        <v>800</v>
      </c>
      <c r="AL147" s="76"/>
      <c r="AM147" s="72"/>
      <c r="AN147" s="52"/>
      <c r="AO147" s="50">
        <v>2.2400000000000002</v>
      </c>
      <c r="AP147" s="76"/>
      <c r="AQ147" s="52">
        <v>155</v>
      </c>
      <c r="AR147" s="82">
        <f t="shared" si="33"/>
        <v>3452.0828000000001</v>
      </c>
      <c r="AS147" s="83">
        <f>AR147*E147</f>
        <v>13808.331200000001</v>
      </c>
      <c r="AT147" s="74">
        <f t="shared" si="34"/>
        <v>287.8089500000001</v>
      </c>
      <c r="AU147" s="73">
        <f>IFERROR(AT147*E147,0)</f>
        <v>1151.2358000000004</v>
      </c>
      <c r="AV147" s="72" t="str">
        <f>D147</f>
        <v>M25</v>
      </c>
      <c r="AW147" s="72">
        <f>P147/E147</f>
        <v>138.25</v>
      </c>
      <c r="AX147" s="72">
        <f>Q147/E147</f>
        <v>170.75</v>
      </c>
      <c r="AY147" s="72">
        <f>R147/E147</f>
        <v>0</v>
      </c>
      <c r="AZ147" s="72">
        <f>S147/E147</f>
        <v>0</v>
      </c>
      <c r="BA147" s="72">
        <f>T147/E147</f>
        <v>498.25</v>
      </c>
      <c r="BB147" s="72">
        <f>U147/E147</f>
        <v>737.25</v>
      </c>
      <c r="BC147" s="72">
        <f>V147/E147</f>
        <v>779</v>
      </c>
      <c r="BD147" s="72"/>
      <c r="BE147" s="72">
        <f>X147/E147</f>
        <v>1.105</v>
      </c>
      <c r="BF147" s="72">
        <f>Y147/E147</f>
        <v>0</v>
      </c>
      <c r="BG147" s="72">
        <f>AB147/E147</f>
        <v>174.75</v>
      </c>
      <c r="BH147" s="84">
        <f>Z147/E147</f>
        <v>0</v>
      </c>
      <c r="BI147" s="72"/>
      <c r="BJ147" s="72">
        <f t="shared" si="30"/>
        <v>2499.355</v>
      </c>
    </row>
    <row r="148" spans="1:62" ht="18.75">
      <c r="A148" s="36">
        <v>45737</v>
      </c>
      <c r="B148" s="37" t="s">
        <v>76</v>
      </c>
      <c r="C148" s="72"/>
      <c r="D148" s="39" t="s">
        <v>43</v>
      </c>
      <c r="E148" s="40">
        <v>15</v>
      </c>
      <c r="F148" s="73"/>
      <c r="G148" s="37" t="s">
        <v>77</v>
      </c>
      <c r="H148" s="42">
        <v>5800</v>
      </c>
      <c r="I148" s="72">
        <f t="shared" si="23"/>
        <v>3611.0944</v>
      </c>
      <c r="J148" s="74">
        <f t="shared" si="24"/>
        <v>3501.1090066666661</v>
      </c>
      <c r="K148" s="74">
        <f t="shared" si="25"/>
        <v>2188.9056</v>
      </c>
      <c r="L148" s="74">
        <f t="shared" si="26"/>
        <v>2298.8909933333339</v>
      </c>
      <c r="M148" s="74">
        <f t="shared" si="27"/>
        <v>0.60363948390804589</v>
      </c>
      <c r="N148" s="74">
        <f t="shared" si="28"/>
        <v>0.62260248275862073</v>
      </c>
      <c r="O148" s="75">
        <f t="shared" si="29"/>
        <v>3.141444414438524E-2</v>
      </c>
      <c r="P148" s="71">
        <v>3447</v>
      </c>
      <c r="Q148" s="71">
        <v>1970</v>
      </c>
      <c r="R148" s="81"/>
      <c r="S148" s="81"/>
      <c r="T148" s="71">
        <v>7405</v>
      </c>
      <c r="U148" s="71">
        <v>11097</v>
      </c>
      <c r="V148" s="71">
        <f>1226+9779</f>
        <v>11005</v>
      </c>
      <c r="W148" s="71"/>
      <c r="X148" s="71">
        <v>23.73</v>
      </c>
      <c r="Y148" s="71"/>
      <c r="Z148" s="71"/>
      <c r="AA148" s="71"/>
      <c r="AB148" s="71">
        <v>2562</v>
      </c>
      <c r="AC148" s="76">
        <f>IFERROR(AD148/E148,0)</f>
        <v>3501.1090066666661</v>
      </c>
      <c r="AD148" s="77">
        <f t="shared" si="32"/>
        <v>52516.635099999992</v>
      </c>
      <c r="AE148" s="50">
        <v>252</v>
      </c>
      <c r="AF148" s="78"/>
      <c r="AG148" s="50">
        <v>108</v>
      </c>
      <c r="AH148" s="79"/>
      <c r="AI148" s="50">
        <v>525</v>
      </c>
      <c r="AJ148" s="50">
        <v>760</v>
      </c>
      <c r="AK148" s="50">
        <f t="shared" ref="AK148:AK149" si="37">350+360</f>
        <v>710</v>
      </c>
      <c r="AL148" s="76"/>
      <c r="AM148" s="72"/>
      <c r="AN148" s="52"/>
      <c r="AO148" s="50">
        <v>2.52</v>
      </c>
      <c r="AP148" s="76"/>
      <c r="AQ148" s="52">
        <v>155</v>
      </c>
      <c r="AR148" s="82">
        <f t="shared" si="33"/>
        <v>3611.0944</v>
      </c>
      <c r="AS148" s="83">
        <f>AR148*E148</f>
        <v>54166.415999999997</v>
      </c>
      <c r="AT148" s="74">
        <f t="shared" si="34"/>
        <v>109.98539333333383</v>
      </c>
      <c r="AU148" s="73">
        <f>IFERROR(AT148*E148,0)</f>
        <v>1649.7809000000075</v>
      </c>
      <c r="AV148" s="72" t="str">
        <f>D148</f>
        <v>M30</v>
      </c>
      <c r="AW148" s="72">
        <f>P148/E148</f>
        <v>229.8</v>
      </c>
      <c r="AX148" s="72">
        <f>Q148/E148</f>
        <v>131.33333333333334</v>
      </c>
      <c r="AY148" s="72">
        <f>R148/E148</f>
        <v>0</v>
      </c>
      <c r="AZ148" s="72">
        <f>S148/E148</f>
        <v>0</v>
      </c>
      <c r="BA148" s="72">
        <f>T148/E148</f>
        <v>493.66666666666669</v>
      </c>
      <c r="BB148" s="72">
        <f>U148/E148</f>
        <v>739.8</v>
      </c>
      <c r="BC148" s="72">
        <f>V148/E148</f>
        <v>733.66666666666663</v>
      </c>
      <c r="BD148" s="72"/>
      <c r="BE148" s="72">
        <f>X148/E148</f>
        <v>1.5820000000000001</v>
      </c>
      <c r="BF148" s="72">
        <f>Y148/E148</f>
        <v>0</v>
      </c>
      <c r="BG148" s="72">
        <f>AB148/E148</f>
        <v>170.8</v>
      </c>
      <c r="BH148" s="84">
        <f>Z148/E148</f>
        <v>0</v>
      </c>
      <c r="BI148" s="72"/>
      <c r="BJ148" s="72">
        <f t="shared" si="30"/>
        <v>2500.6486666666665</v>
      </c>
    </row>
    <row r="149" spans="1:62" ht="18.75">
      <c r="A149" s="36">
        <v>45737</v>
      </c>
      <c r="B149" s="37" t="s">
        <v>76</v>
      </c>
      <c r="C149" s="72"/>
      <c r="D149" s="39" t="s">
        <v>43</v>
      </c>
      <c r="E149" s="40">
        <v>27</v>
      </c>
      <c r="F149" s="73"/>
      <c r="G149" s="37" t="s">
        <v>77</v>
      </c>
      <c r="H149" s="42">
        <v>5800</v>
      </c>
      <c r="I149" s="72">
        <f t="shared" si="23"/>
        <v>3611.0944</v>
      </c>
      <c r="J149" s="74">
        <f t="shared" si="24"/>
        <v>3422.1464653846156</v>
      </c>
      <c r="K149" s="74">
        <f t="shared" si="25"/>
        <v>2188.9056</v>
      </c>
      <c r="L149" s="74">
        <f t="shared" si="26"/>
        <v>2377.8535346153844</v>
      </c>
      <c r="M149" s="74">
        <f t="shared" si="27"/>
        <v>0.59002525265251993</v>
      </c>
      <c r="N149" s="74">
        <f t="shared" si="28"/>
        <v>0.62260248275862073</v>
      </c>
      <c r="O149" s="75">
        <f t="shared" si="29"/>
        <v>5.5213281058135187E-2</v>
      </c>
      <c r="P149" s="71">
        <v>5695.9615384615381</v>
      </c>
      <c r="Q149" s="71">
        <v>3532.3269230769229</v>
      </c>
      <c r="R149" s="71">
        <v>0</v>
      </c>
      <c r="S149" s="71">
        <v>0</v>
      </c>
      <c r="T149" s="71">
        <v>13201.442307692307</v>
      </c>
      <c r="U149" s="71">
        <v>19856.423076923078</v>
      </c>
      <c r="V149" s="71">
        <v>20917.73076923077</v>
      </c>
      <c r="W149" s="71">
        <v>0</v>
      </c>
      <c r="X149" s="71">
        <v>37.883076923076921</v>
      </c>
      <c r="Y149" s="71">
        <v>0</v>
      </c>
      <c r="Z149" s="71">
        <v>0</v>
      </c>
      <c r="AA149" s="71">
        <v>0</v>
      </c>
      <c r="AB149" s="71">
        <v>4580.1346153846152</v>
      </c>
      <c r="AC149" s="76">
        <f>IFERROR(AD149/E149,0)</f>
        <v>3422.1464653846156</v>
      </c>
      <c r="AD149" s="77">
        <f t="shared" si="32"/>
        <v>92397.954565384614</v>
      </c>
      <c r="AE149" s="50">
        <v>252</v>
      </c>
      <c r="AF149" s="78"/>
      <c r="AG149" s="50">
        <v>108</v>
      </c>
      <c r="AH149" s="79"/>
      <c r="AI149" s="50">
        <v>525</v>
      </c>
      <c r="AJ149" s="50">
        <v>760</v>
      </c>
      <c r="AK149" s="50">
        <f t="shared" si="37"/>
        <v>710</v>
      </c>
      <c r="AL149" s="76"/>
      <c r="AM149" s="72"/>
      <c r="AN149" s="52"/>
      <c r="AO149" s="50">
        <v>2.52</v>
      </c>
      <c r="AP149" s="76"/>
      <c r="AQ149" s="52">
        <v>155</v>
      </c>
      <c r="AR149" s="82">
        <f t="shared" si="33"/>
        <v>3611.0944</v>
      </c>
      <c r="AS149" s="83">
        <f>AR149*E149</f>
        <v>97499.548800000004</v>
      </c>
      <c r="AT149" s="74">
        <f t="shared" si="34"/>
        <v>188.94793461538438</v>
      </c>
      <c r="AU149" s="73">
        <f>IFERROR(AT149*E149,0)</f>
        <v>5101.5942346153788</v>
      </c>
      <c r="AV149" s="72" t="str">
        <f>D149</f>
        <v>M30</v>
      </c>
      <c r="AW149" s="72">
        <f>P149/E149</f>
        <v>210.96153846153845</v>
      </c>
      <c r="AX149" s="72">
        <f>Q149/E149</f>
        <v>130.82692307692307</v>
      </c>
      <c r="AY149" s="72">
        <f>R149/E149</f>
        <v>0</v>
      </c>
      <c r="AZ149" s="72">
        <f>S149/E149</f>
        <v>0</v>
      </c>
      <c r="BA149" s="72">
        <f>T149/E149</f>
        <v>488.94230769230768</v>
      </c>
      <c r="BB149" s="72">
        <f>U149/E149</f>
        <v>735.42307692307702</v>
      </c>
      <c r="BC149" s="72">
        <f>V149/E149</f>
        <v>774.73076923076928</v>
      </c>
      <c r="BD149" s="72"/>
      <c r="BE149" s="72">
        <f>X149/E149</f>
        <v>1.4030769230769229</v>
      </c>
      <c r="BF149" s="72">
        <f>Y149/E149</f>
        <v>0</v>
      </c>
      <c r="BG149" s="72">
        <f>AB149/E149</f>
        <v>169.63461538461539</v>
      </c>
      <c r="BH149" s="84">
        <f>Z149/E149</f>
        <v>0</v>
      </c>
      <c r="BI149" s="72"/>
      <c r="BJ149" s="72">
        <f t="shared" si="30"/>
        <v>2511.9223076923072</v>
      </c>
    </row>
    <row r="150" spans="1:62" ht="18.75">
      <c r="A150" s="36">
        <v>45737</v>
      </c>
      <c r="B150" s="37" t="s">
        <v>47</v>
      </c>
      <c r="C150" s="72"/>
      <c r="D150" s="39" t="s">
        <v>43</v>
      </c>
      <c r="E150" s="66">
        <v>39</v>
      </c>
      <c r="F150" s="73"/>
      <c r="G150" s="37" t="s">
        <v>78</v>
      </c>
      <c r="H150" s="42">
        <v>5700</v>
      </c>
      <c r="I150" s="72">
        <f t="shared" si="23"/>
        <v>3886.9700000000003</v>
      </c>
      <c r="J150" s="74">
        <f t="shared" si="24"/>
        <v>3562.1766000000002</v>
      </c>
      <c r="K150" s="74">
        <f t="shared" si="25"/>
        <v>1813.0299999999997</v>
      </c>
      <c r="L150" s="74">
        <f t="shared" si="26"/>
        <v>2137.8233999999998</v>
      </c>
      <c r="M150" s="74">
        <f t="shared" si="27"/>
        <v>0.62494326315789472</v>
      </c>
      <c r="N150" s="74">
        <f t="shared" si="28"/>
        <v>0.68192456140350877</v>
      </c>
      <c r="O150" s="75">
        <f t="shared" si="29"/>
        <v>9.1178354268005704E-2</v>
      </c>
      <c r="P150" s="71">
        <v>8967</v>
      </c>
      <c r="Q150" s="71">
        <v>5881</v>
      </c>
      <c r="R150" s="71">
        <v>0</v>
      </c>
      <c r="S150" s="71">
        <v>0</v>
      </c>
      <c r="T150" s="71">
        <v>19164</v>
      </c>
      <c r="U150" s="71">
        <v>29100</v>
      </c>
      <c r="V150" s="71">
        <f>14295+13583</f>
        <v>27878</v>
      </c>
      <c r="W150" s="71">
        <v>0</v>
      </c>
      <c r="X150" s="71">
        <v>73.92</v>
      </c>
      <c r="Y150" s="71">
        <v>0</v>
      </c>
      <c r="Z150" s="71">
        <v>0</v>
      </c>
      <c r="AA150" s="71">
        <v>0</v>
      </c>
      <c r="AB150" s="71">
        <v>6926</v>
      </c>
      <c r="AC150" s="76">
        <f>IFERROR(AD150/E150,0)</f>
        <v>3562.1766000000002</v>
      </c>
      <c r="AD150" s="77">
        <f t="shared" si="32"/>
        <v>138924.88740000001</v>
      </c>
      <c r="AE150" s="48">
        <v>320</v>
      </c>
      <c r="AF150" s="78"/>
      <c r="AG150" s="50">
        <v>80</v>
      </c>
      <c r="AH150" s="79"/>
      <c r="AI150" s="50">
        <v>515</v>
      </c>
      <c r="AJ150" s="50">
        <v>780</v>
      </c>
      <c r="AK150" s="50">
        <f>360+300</f>
        <v>660</v>
      </c>
      <c r="AL150" s="76"/>
      <c r="AM150" s="72"/>
      <c r="AN150" s="52">
        <v>2</v>
      </c>
      <c r="AO150" s="50"/>
      <c r="AP150" s="76"/>
      <c r="AQ150" s="52">
        <v>152</v>
      </c>
      <c r="AR150" s="82">
        <f t="shared" si="33"/>
        <v>3886.9700000000003</v>
      </c>
      <c r="AS150" s="83">
        <f>AR150*E150</f>
        <v>151591.83000000002</v>
      </c>
      <c r="AT150" s="74">
        <f t="shared" si="34"/>
        <v>324.79340000000002</v>
      </c>
      <c r="AU150" s="73">
        <f>IFERROR(AT150*E150,0)</f>
        <v>12666.9426</v>
      </c>
      <c r="AV150" s="72" t="str">
        <f>D150</f>
        <v>M30</v>
      </c>
      <c r="AW150" s="72">
        <f>P150/E150</f>
        <v>229.92307692307693</v>
      </c>
      <c r="AX150" s="72">
        <f>Q150/E150</f>
        <v>150.7948717948718</v>
      </c>
      <c r="AY150" s="72">
        <f>R150/E150</f>
        <v>0</v>
      </c>
      <c r="AZ150" s="72">
        <f>S150/E150</f>
        <v>0</v>
      </c>
      <c r="BA150" s="72">
        <f>T150/E150</f>
        <v>491.38461538461536</v>
      </c>
      <c r="BB150" s="72">
        <f>U150/E150</f>
        <v>746.15384615384619</v>
      </c>
      <c r="BC150" s="72">
        <f>V150/E150</f>
        <v>714.82051282051282</v>
      </c>
      <c r="BD150" s="72"/>
      <c r="BE150" s="72">
        <f>X150/E150</f>
        <v>1.8953846153846154</v>
      </c>
      <c r="BF150" s="72">
        <f>Y150/E150</f>
        <v>0</v>
      </c>
      <c r="BG150" s="72">
        <f>AB150/E150</f>
        <v>177.58974358974359</v>
      </c>
      <c r="BH150" s="84">
        <f>Z150/E150</f>
        <v>0</v>
      </c>
      <c r="BI150" s="72"/>
      <c r="BJ150" s="72">
        <f t="shared" si="30"/>
        <v>2512.562051282051</v>
      </c>
    </row>
    <row r="151" spans="1:62" ht="18.75">
      <c r="A151" s="36">
        <v>45737</v>
      </c>
      <c r="B151" s="37" t="s">
        <v>47</v>
      </c>
      <c r="C151" s="72"/>
      <c r="D151" s="39" t="s">
        <v>43</v>
      </c>
      <c r="E151" s="66">
        <v>20</v>
      </c>
      <c r="F151" s="73"/>
      <c r="G151" s="37" t="s">
        <v>78</v>
      </c>
      <c r="H151" s="42">
        <v>5700</v>
      </c>
      <c r="I151" s="72">
        <f t="shared" si="23"/>
        <v>3886.9700000000003</v>
      </c>
      <c r="J151" s="74">
        <f t="shared" si="24"/>
        <v>3422.1464653846151</v>
      </c>
      <c r="K151" s="74">
        <f t="shared" si="25"/>
        <v>1813.0299999999997</v>
      </c>
      <c r="L151" s="74">
        <f t="shared" si="26"/>
        <v>2277.8535346153849</v>
      </c>
      <c r="M151" s="74">
        <f t="shared" si="27"/>
        <v>0.60037657287449386</v>
      </c>
      <c r="N151" s="74">
        <f t="shared" si="28"/>
        <v>0.68192456140350877</v>
      </c>
      <c r="O151" s="75">
        <f t="shared" si="29"/>
        <v>0.13582806560652086</v>
      </c>
      <c r="P151" s="71">
        <v>4219.2307692307695</v>
      </c>
      <c r="Q151" s="71">
        <v>2616.5384615384614</v>
      </c>
      <c r="R151" s="71">
        <v>0</v>
      </c>
      <c r="S151" s="71">
        <v>0</v>
      </c>
      <c r="T151" s="71">
        <v>9778.8461538461543</v>
      </c>
      <c r="U151" s="71">
        <v>14708.461538461539</v>
      </c>
      <c r="V151" s="71">
        <v>15494.615384615387</v>
      </c>
      <c r="W151" s="71">
        <v>0</v>
      </c>
      <c r="X151" s="71">
        <v>28.061538461538458</v>
      </c>
      <c r="Y151" s="71">
        <v>0</v>
      </c>
      <c r="Z151" s="71">
        <v>0</v>
      </c>
      <c r="AA151" s="71">
        <v>0</v>
      </c>
      <c r="AB151" s="71">
        <v>3392.6923076923076</v>
      </c>
      <c r="AC151" s="76">
        <f>IFERROR(AD151/E151,0)</f>
        <v>3422.1464653846151</v>
      </c>
      <c r="AD151" s="77">
        <f t="shared" si="32"/>
        <v>68442.929307692306</v>
      </c>
      <c r="AE151" s="48">
        <v>320</v>
      </c>
      <c r="AF151" s="78"/>
      <c r="AG151" s="50">
        <v>80</v>
      </c>
      <c r="AH151" s="79"/>
      <c r="AI151" s="50">
        <v>515</v>
      </c>
      <c r="AJ151" s="50">
        <v>780</v>
      </c>
      <c r="AK151" s="50">
        <f>360+300</f>
        <v>660</v>
      </c>
      <c r="AL151" s="76"/>
      <c r="AM151" s="72"/>
      <c r="AN151" s="52">
        <v>2</v>
      </c>
      <c r="AO151" s="50"/>
      <c r="AP151" s="76"/>
      <c r="AQ151" s="52">
        <v>152</v>
      </c>
      <c r="AR151" s="82">
        <f t="shared" si="33"/>
        <v>3886.9700000000003</v>
      </c>
      <c r="AS151" s="83">
        <f>AR151*E151</f>
        <v>77739.400000000009</v>
      </c>
      <c r="AT151" s="74">
        <f t="shared" si="34"/>
        <v>464.82353461538514</v>
      </c>
      <c r="AU151" s="73">
        <f>IFERROR(AT151*E151,0)</f>
        <v>9296.4706923077028</v>
      </c>
      <c r="AV151" s="72" t="str">
        <f>D151</f>
        <v>M30</v>
      </c>
      <c r="AW151" s="72">
        <f>P151/E151</f>
        <v>210.96153846153848</v>
      </c>
      <c r="AX151" s="72">
        <f>Q151/E151</f>
        <v>130.82692307692307</v>
      </c>
      <c r="AY151" s="72">
        <f>R151/E151</f>
        <v>0</v>
      </c>
      <c r="AZ151" s="72">
        <f>S151/E151</f>
        <v>0</v>
      </c>
      <c r="BA151" s="72">
        <f>T151/E151</f>
        <v>488.94230769230774</v>
      </c>
      <c r="BB151" s="72">
        <f>U151/E151</f>
        <v>735.42307692307691</v>
      </c>
      <c r="BC151" s="72">
        <f>V151/E151</f>
        <v>774.73076923076928</v>
      </c>
      <c r="BD151" s="72"/>
      <c r="BE151" s="72">
        <f>X151/E151</f>
        <v>1.4030769230769229</v>
      </c>
      <c r="BF151" s="72">
        <f>Y151/E151</f>
        <v>0</v>
      </c>
      <c r="BG151" s="72">
        <f>AB151/E151</f>
        <v>169.63461538461539</v>
      </c>
      <c r="BH151" s="84">
        <f>Z151/E151</f>
        <v>0</v>
      </c>
      <c r="BI151" s="72"/>
      <c r="BJ151" s="72">
        <f t="shared" si="30"/>
        <v>2511.9223076923072</v>
      </c>
    </row>
    <row r="152" spans="1:62" ht="18.75">
      <c r="A152" s="36">
        <v>45737</v>
      </c>
      <c r="B152" s="37" t="s">
        <v>90</v>
      </c>
      <c r="C152" s="72"/>
      <c r="D152" s="39" t="s">
        <v>43</v>
      </c>
      <c r="E152" s="66">
        <v>5</v>
      </c>
      <c r="F152" s="73"/>
      <c r="G152" s="37" t="s">
        <v>91</v>
      </c>
      <c r="H152" s="42">
        <v>6200</v>
      </c>
      <c r="I152" s="72">
        <f t="shared" si="23"/>
        <v>4185.3300000000008</v>
      </c>
      <c r="J152" s="74">
        <f t="shared" si="24"/>
        <v>3422.1464653846151</v>
      </c>
      <c r="K152" s="74">
        <f t="shared" si="25"/>
        <v>2014.6699999999992</v>
      </c>
      <c r="L152" s="74">
        <f t="shared" si="26"/>
        <v>2777.8535346153849</v>
      </c>
      <c r="M152" s="74">
        <f t="shared" si="27"/>
        <v>0.55195910732009923</v>
      </c>
      <c r="N152" s="74">
        <f t="shared" si="28"/>
        <v>0.67505322580645177</v>
      </c>
      <c r="O152" s="75">
        <f t="shared" si="29"/>
        <v>0.22301311248220101</v>
      </c>
      <c r="P152" s="71">
        <v>1054.8076923076924</v>
      </c>
      <c r="Q152" s="71">
        <v>654.13461538461536</v>
      </c>
      <c r="R152" s="71">
        <v>0</v>
      </c>
      <c r="S152" s="71">
        <v>0</v>
      </c>
      <c r="T152" s="71">
        <v>2444.7115384615386</v>
      </c>
      <c r="U152" s="71">
        <v>3677.1153846153848</v>
      </c>
      <c r="V152" s="71">
        <v>3873.6538461538466</v>
      </c>
      <c r="W152" s="71">
        <v>0</v>
      </c>
      <c r="X152" s="71">
        <v>7.0153846153846144</v>
      </c>
      <c r="Y152" s="71">
        <v>0</v>
      </c>
      <c r="Z152" s="71">
        <v>0</v>
      </c>
      <c r="AA152" s="71">
        <v>0</v>
      </c>
      <c r="AB152" s="71">
        <v>848.17307692307691</v>
      </c>
      <c r="AC152" s="76">
        <f>IFERROR(AD152/E152,0)</f>
        <v>3422.1464653846151</v>
      </c>
      <c r="AD152" s="77">
        <f t="shared" si="32"/>
        <v>17110.732326923076</v>
      </c>
      <c r="AE152" s="48">
        <v>420</v>
      </c>
      <c r="AF152" s="78"/>
      <c r="AG152" s="50">
        <v>0</v>
      </c>
      <c r="AH152" s="79"/>
      <c r="AI152" s="50">
        <v>505</v>
      </c>
      <c r="AJ152" s="50">
        <v>760</v>
      </c>
      <c r="AK152" s="50">
        <f>365+300</f>
        <v>665</v>
      </c>
      <c r="AL152" s="76"/>
      <c r="AM152" s="72"/>
      <c r="AN152" s="52">
        <v>2.52</v>
      </c>
      <c r="AO152" s="50"/>
      <c r="AP152" s="76"/>
      <c r="AQ152" s="52">
        <v>170</v>
      </c>
      <c r="AR152" s="82">
        <f t="shared" si="33"/>
        <v>4185.3300000000008</v>
      </c>
      <c r="AS152" s="83">
        <f>AR152*E152</f>
        <v>20926.650000000005</v>
      </c>
      <c r="AT152" s="74">
        <f t="shared" si="34"/>
        <v>763.18353461538572</v>
      </c>
      <c r="AU152" s="73">
        <f>IFERROR(AT152*E152,0)</f>
        <v>3815.9176730769286</v>
      </c>
      <c r="AV152" s="72" t="str">
        <f>D152</f>
        <v>M30</v>
      </c>
      <c r="AW152" s="72">
        <f>P152/E152</f>
        <v>210.96153846153848</v>
      </c>
      <c r="AX152" s="72">
        <f>Q152/E152</f>
        <v>130.82692307692307</v>
      </c>
      <c r="AY152" s="72">
        <f>R152/E152</f>
        <v>0</v>
      </c>
      <c r="AZ152" s="72">
        <f>S152/E152</f>
        <v>0</v>
      </c>
      <c r="BA152" s="72">
        <f>T152/E152</f>
        <v>488.94230769230774</v>
      </c>
      <c r="BB152" s="72">
        <f>U152/E152</f>
        <v>735.42307692307691</v>
      </c>
      <c r="BC152" s="72">
        <f>V152/E152</f>
        <v>774.73076923076928</v>
      </c>
      <c r="BD152" s="72"/>
      <c r="BE152" s="72">
        <f>X152/E152</f>
        <v>1.4030769230769229</v>
      </c>
      <c r="BF152" s="72">
        <f>Y152/E152</f>
        <v>0</v>
      </c>
      <c r="BG152" s="72">
        <f>AB152/E152</f>
        <v>169.63461538461539</v>
      </c>
      <c r="BH152" s="84">
        <f>Z152/E152</f>
        <v>0</v>
      </c>
      <c r="BI152" s="72"/>
      <c r="BJ152" s="72">
        <f t="shared" si="30"/>
        <v>2511.9223076923072</v>
      </c>
    </row>
    <row r="153" spans="1:62" ht="18.75">
      <c r="A153" s="36">
        <v>45737</v>
      </c>
      <c r="B153" s="37" t="s">
        <v>103</v>
      </c>
      <c r="C153" s="72"/>
      <c r="D153" s="39" t="s">
        <v>43</v>
      </c>
      <c r="E153" s="66">
        <v>54</v>
      </c>
      <c r="F153" s="73"/>
      <c r="G153" s="37" t="s">
        <v>104</v>
      </c>
      <c r="H153" s="42">
        <v>5700</v>
      </c>
      <c r="I153" s="72">
        <f t="shared" si="23"/>
        <v>3821.64</v>
      </c>
      <c r="J153" s="74">
        <f t="shared" si="24"/>
        <v>3637.4321725490195</v>
      </c>
      <c r="K153" s="74">
        <f t="shared" si="25"/>
        <v>1878.3600000000001</v>
      </c>
      <c r="L153" s="74">
        <f t="shared" si="26"/>
        <v>2062.5678274509805</v>
      </c>
      <c r="M153" s="74">
        <f t="shared" si="27"/>
        <v>0.63814599518403847</v>
      </c>
      <c r="N153" s="74">
        <f t="shared" si="28"/>
        <v>0.67046315789473687</v>
      </c>
      <c r="O153" s="75">
        <f t="shared" si="29"/>
        <v>5.0642271446643294E-2</v>
      </c>
      <c r="P153" s="71">
        <v>14573.64705882353</v>
      </c>
      <c r="Q153" s="71">
        <v>6001.4117647058829</v>
      </c>
      <c r="R153" s="71">
        <v>0</v>
      </c>
      <c r="S153" s="71">
        <v>0</v>
      </c>
      <c r="T153" s="71">
        <v>26849.647058823528</v>
      </c>
      <c r="U153" s="71">
        <v>40933.058823529413</v>
      </c>
      <c r="V153" s="71">
        <v>37076.823529411762</v>
      </c>
      <c r="W153" s="71">
        <v>0</v>
      </c>
      <c r="X153" s="71">
        <v>98.407058823529411</v>
      </c>
      <c r="Y153" s="71">
        <v>0</v>
      </c>
      <c r="Z153" s="71">
        <v>0</v>
      </c>
      <c r="AA153" s="71">
        <v>0</v>
      </c>
      <c r="AB153" s="71">
        <v>9513.5294117647063</v>
      </c>
      <c r="AC153" s="76">
        <f>IFERROR(AD153/E153,0)</f>
        <v>3637.4321725490195</v>
      </c>
      <c r="AD153" s="77">
        <f t="shared" si="32"/>
        <v>196421.33731764706</v>
      </c>
      <c r="AE153" s="48">
        <v>280</v>
      </c>
      <c r="AF153" s="78"/>
      <c r="AG153" s="50">
        <v>120</v>
      </c>
      <c r="AH153" s="79"/>
      <c r="AI153" s="50">
        <v>495</v>
      </c>
      <c r="AJ153" s="50">
        <v>750</v>
      </c>
      <c r="AK153" s="50">
        <f>350+350</f>
        <v>700</v>
      </c>
      <c r="AL153" s="76"/>
      <c r="AM153" s="72"/>
      <c r="AN153" s="52">
        <v>2.4</v>
      </c>
      <c r="AO153" s="50"/>
      <c r="AP153" s="76"/>
      <c r="AQ153" s="52">
        <v>160</v>
      </c>
      <c r="AR153" s="82">
        <f t="shared" si="33"/>
        <v>3821.64</v>
      </c>
      <c r="AS153" s="83">
        <f>AR153*E153</f>
        <v>206368.56</v>
      </c>
      <c r="AT153" s="74">
        <f t="shared" si="34"/>
        <v>184.2078274509804</v>
      </c>
      <c r="AU153" s="73">
        <f>IFERROR(AT153*E153,0)</f>
        <v>9947.2226823529418</v>
      </c>
      <c r="AV153" s="72" t="str">
        <f>D153</f>
        <v>M30</v>
      </c>
      <c r="AW153" s="72">
        <f>P153/E153</f>
        <v>269.88235294117646</v>
      </c>
      <c r="AX153" s="72">
        <f>Q153/E153</f>
        <v>111.13725490196079</v>
      </c>
      <c r="AY153" s="72">
        <f>R153/E153</f>
        <v>0</v>
      </c>
      <c r="AZ153" s="72">
        <f>S153/E153</f>
        <v>0</v>
      </c>
      <c r="BA153" s="72">
        <f>T153/E153</f>
        <v>497.21568627450978</v>
      </c>
      <c r="BB153" s="72">
        <f>U153/E153</f>
        <v>758.01960784313724</v>
      </c>
      <c r="BC153" s="72">
        <f>V153/E153</f>
        <v>686.6078431372548</v>
      </c>
      <c r="BD153" s="72"/>
      <c r="BE153" s="72">
        <f>X153/E153</f>
        <v>1.8223529411764705</v>
      </c>
      <c r="BF153" s="72">
        <f>Y153/E153</f>
        <v>0</v>
      </c>
      <c r="BG153" s="72">
        <f>AB153/E153</f>
        <v>176.1764705882353</v>
      </c>
      <c r="BH153" s="84">
        <f>Z153/E153</f>
        <v>0</v>
      </c>
      <c r="BI153" s="72"/>
      <c r="BJ153" s="72">
        <f t="shared" si="30"/>
        <v>2500.8615686274511</v>
      </c>
    </row>
    <row r="154" spans="1:62" ht="18.75">
      <c r="A154" s="36">
        <v>45737</v>
      </c>
      <c r="B154" s="65" t="s">
        <v>47</v>
      </c>
      <c r="C154" s="72"/>
      <c r="D154" s="39" t="s">
        <v>48</v>
      </c>
      <c r="E154" s="66">
        <v>6</v>
      </c>
      <c r="F154" s="73"/>
      <c r="G154" s="37" t="s">
        <v>49</v>
      </c>
      <c r="H154" s="42">
        <v>6600</v>
      </c>
      <c r="I154" s="72">
        <f t="shared" si="23"/>
        <v>4390.09</v>
      </c>
      <c r="J154" s="74">
        <f t="shared" si="24"/>
        <v>4254.672333333333</v>
      </c>
      <c r="K154" s="74">
        <f t="shared" si="25"/>
        <v>2209.91</v>
      </c>
      <c r="L154" s="74">
        <f t="shared" si="26"/>
        <v>2345.327666666667</v>
      </c>
      <c r="M154" s="74">
        <f t="shared" si="27"/>
        <v>0.64464732323232321</v>
      </c>
      <c r="N154" s="74">
        <f t="shared" si="28"/>
        <v>0.66516515151515154</v>
      </c>
      <c r="O154" s="75">
        <f t="shared" si="29"/>
        <v>3.1827989574128662E-2</v>
      </c>
      <c r="P154" s="71">
        <v>2290</v>
      </c>
      <c r="Q154" s="71">
        <v>725</v>
      </c>
      <c r="R154" s="71">
        <v>0</v>
      </c>
      <c r="S154" s="71">
        <v>0</v>
      </c>
      <c r="T154" s="71">
        <v>2978</v>
      </c>
      <c r="U154" s="71">
        <v>4553</v>
      </c>
      <c r="V154" s="71">
        <f>1736+1742</f>
        <v>3478</v>
      </c>
      <c r="W154" s="71">
        <v>0</v>
      </c>
      <c r="X154" s="71"/>
      <c r="Y154" s="71">
        <f>2.5*6</f>
        <v>15</v>
      </c>
      <c r="Z154" s="71">
        <v>0</v>
      </c>
      <c r="AA154" s="71">
        <v>0</v>
      </c>
      <c r="AB154" s="71">
        <v>990</v>
      </c>
      <c r="AC154" s="76">
        <f>IFERROR(AD154/E154,0)</f>
        <v>4254.672333333333</v>
      </c>
      <c r="AD154" s="77">
        <f t="shared" si="32"/>
        <v>25528.034</v>
      </c>
      <c r="AE154" s="48">
        <v>400</v>
      </c>
      <c r="AF154" s="78"/>
      <c r="AG154" s="50">
        <v>100</v>
      </c>
      <c r="AH154" s="79"/>
      <c r="AI154" s="50">
        <v>510</v>
      </c>
      <c r="AJ154" s="50">
        <v>750</v>
      </c>
      <c r="AK154" s="50">
        <f>295+300</f>
        <v>595</v>
      </c>
      <c r="AL154" s="76"/>
      <c r="AM154" s="72"/>
      <c r="AN154" s="52">
        <v>3.5</v>
      </c>
      <c r="AO154" s="50"/>
      <c r="AP154" s="76"/>
      <c r="AQ154" s="52">
        <v>150</v>
      </c>
      <c r="AR154" s="82">
        <f t="shared" si="33"/>
        <v>4390.09</v>
      </c>
      <c r="AS154" s="83">
        <f>AR154*E154</f>
        <v>26340.54</v>
      </c>
      <c r="AT154" s="74">
        <f t="shared" si="34"/>
        <v>135.41766666666717</v>
      </c>
      <c r="AU154" s="73">
        <f>IFERROR(AT154*E154,0)</f>
        <v>812.50600000000304</v>
      </c>
      <c r="AV154" s="72" t="str">
        <f>D154</f>
        <v>M50</v>
      </c>
      <c r="AW154" s="72">
        <f>P154/E154</f>
        <v>381.66666666666669</v>
      </c>
      <c r="AX154" s="72">
        <f>Q154/E154</f>
        <v>120.83333333333333</v>
      </c>
      <c r="AY154" s="72">
        <f>R154/E154</f>
        <v>0</v>
      </c>
      <c r="AZ154" s="72">
        <f>S154/E154</f>
        <v>0</v>
      </c>
      <c r="BA154" s="72">
        <f>T154/E154</f>
        <v>496.33333333333331</v>
      </c>
      <c r="BB154" s="72">
        <f>U154/E154</f>
        <v>758.83333333333337</v>
      </c>
      <c r="BC154" s="72">
        <f>V154/E154</f>
        <v>579.66666666666663</v>
      </c>
      <c r="BD154" s="72"/>
      <c r="BE154" s="72">
        <f>X154/E154</f>
        <v>0</v>
      </c>
      <c r="BF154" s="72">
        <f>Y154/E154</f>
        <v>2.5</v>
      </c>
      <c r="BG154" s="72">
        <f>AB154/E154</f>
        <v>165</v>
      </c>
      <c r="BH154" s="84">
        <f>Z154/E154</f>
        <v>0</v>
      </c>
      <c r="BI154" s="72"/>
      <c r="BJ154" s="72">
        <f t="shared" si="30"/>
        <v>2504.833333333333</v>
      </c>
    </row>
    <row r="155" spans="1:62" ht="18.75">
      <c r="A155" s="36">
        <v>45738</v>
      </c>
      <c r="B155" s="37" t="s">
        <v>50</v>
      </c>
      <c r="C155" s="72"/>
      <c r="D155" s="39" t="s">
        <v>31</v>
      </c>
      <c r="E155" s="66">
        <v>5</v>
      </c>
      <c r="F155" s="73"/>
      <c r="G155" s="37" t="s">
        <v>32</v>
      </c>
      <c r="H155" s="42">
        <v>5400</v>
      </c>
      <c r="I155" s="72">
        <f t="shared" si="23"/>
        <v>3003.4838000000004</v>
      </c>
      <c r="J155" s="74">
        <f t="shared" si="24"/>
        <v>2643.9193399999995</v>
      </c>
      <c r="K155" s="74">
        <f t="shared" si="25"/>
        <v>2396.5161999999996</v>
      </c>
      <c r="L155" s="74">
        <f t="shared" si="26"/>
        <v>2756.0806600000005</v>
      </c>
      <c r="M155" s="74">
        <f t="shared" si="27"/>
        <v>0.48961469259259249</v>
      </c>
      <c r="N155" s="74">
        <f t="shared" si="28"/>
        <v>0.55620070370370378</v>
      </c>
      <c r="O155" s="75">
        <f t="shared" si="29"/>
        <v>0.13599675850928231</v>
      </c>
      <c r="P155" s="71">
        <v>308</v>
      </c>
      <c r="Q155" s="71">
        <v>505</v>
      </c>
      <c r="R155" s="71"/>
      <c r="S155" s="71"/>
      <c r="T155" s="71">
        <v>2356</v>
      </c>
      <c r="U155" s="71">
        <v>3489</v>
      </c>
      <c r="V155" s="71">
        <f>2413+2423</f>
        <v>4836</v>
      </c>
      <c r="W155" s="71"/>
      <c r="X155" s="71">
        <v>3.71</v>
      </c>
      <c r="Y155" s="71"/>
      <c r="Z155" s="71"/>
      <c r="AA155" s="71"/>
      <c r="AB155" s="71">
        <v>845</v>
      </c>
      <c r="AC155" s="76">
        <f>IFERROR(AD155/E155,0)</f>
        <v>2643.9193399999995</v>
      </c>
      <c r="AD155" s="77">
        <f t="shared" si="32"/>
        <v>13219.596699999998</v>
      </c>
      <c r="AE155" s="48">
        <v>154</v>
      </c>
      <c r="AF155" s="78"/>
      <c r="AG155" s="50">
        <v>66</v>
      </c>
      <c r="AH155" s="79"/>
      <c r="AI155" s="50">
        <v>480</v>
      </c>
      <c r="AJ155" s="50">
        <v>700</v>
      </c>
      <c r="AK155" s="50">
        <f>450+450</f>
        <v>900</v>
      </c>
      <c r="AL155" s="76"/>
      <c r="AM155" s="72"/>
      <c r="AN155" s="52"/>
      <c r="AO155" s="50">
        <v>1.54</v>
      </c>
      <c r="AP155" s="76"/>
      <c r="AQ155" s="52">
        <v>154</v>
      </c>
      <c r="AR155" s="82">
        <f t="shared" si="33"/>
        <v>3003.4838000000004</v>
      </c>
      <c r="AS155" s="83">
        <f>AR155*E155</f>
        <v>15017.419000000002</v>
      </c>
      <c r="AT155" s="74">
        <f t="shared" si="34"/>
        <v>359.56446000000096</v>
      </c>
      <c r="AU155" s="73">
        <f>IFERROR(AT155*E155,0)</f>
        <v>1797.8223000000048</v>
      </c>
      <c r="AV155" s="72" t="str">
        <f>D155</f>
        <v>M10</v>
      </c>
      <c r="AW155" s="72">
        <f>P155/E155</f>
        <v>61.6</v>
      </c>
      <c r="AX155" s="72">
        <f>Q155/E155</f>
        <v>101</v>
      </c>
      <c r="AY155" s="72">
        <f>R155/E155</f>
        <v>0</v>
      </c>
      <c r="AZ155" s="72">
        <f>S155/E155</f>
        <v>0</v>
      </c>
      <c r="BA155" s="72">
        <f>T155/E155</f>
        <v>471.2</v>
      </c>
      <c r="BB155" s="72">
        <f>U155/E155</f>
        <v>697.8</v>
      </c>
      <c r="BC155" s="72">
        <f>V155/E155</f>
        <v>967.2</v>
      </c>
      <c r="BD155" s="72"/>
      <c r="BE155" s="72">
        <f>X155/E155</f>
        <v>0.74199999999999999</v>
      </c>
      <c r="BF155" s="72">
        <f>Y155/E155</f>
        <v>0</v>
      </c>
      <c r="BG155" s="72">
        <f>AB155/E155</f>
        <v>169</v>
      </c>
      <c r="BH155" s="84">
        <f>Z155/E155</f>
        <v>0</v>
      </c>
      <c r="BI155" s="72"/>
      <c r="BJ155" s="72">
        <f t="shared" si="30"/>
        <v>2468.5420000000004</v>
      </c>
    </row>
    <row r="156" spans="1:62" ht="18.75">
      <c r="A156" s="36">
        <v>45738</v>
      </c>
      <c r="B156" s="37" t="s">
        <v>81</v>
      </c>
      <c r="C156" s="72"/>
      <c r="D156" s="39" t="s">
        <v>34</v>
      </c>
      <c r="E156" s="66">
        <v>3</v>
      </c>
      <c r="F156" s="73"/>
      <c r="G156" s="37" t="s">
        <v>82</v>
      </c>
      <c r="H156" s="42">
        <v>5100</v>
      </c>
      <c r="I156" s="72">
        <f t="shared" si="23"/>
        <v>3256.6862000000001</v>
      </c>
      <c r="J156" s="74">
        <f t="shared" si="24"/>
        <v>2857.5043666666666</v>
      </c>
      <c r="K156" s="74">
        <f t="shared" si="25"/>
        <v>1843.3137999999999</v>
      </c>
      <c r="L156" s="74">
        <f t="shared" si="26"/>
        <v>2242.4956333333334</v>
      </c>
      <c r="M156" s="74">
        <f t="shared" si="27"/>
        <v>0.56029497385620908</v>
      </c>
      <c r="N156" s="74">
        <f t="shared" si="28"/>
        <v>0.63856592156862746</v>
      </c>
      <c r="O156" s="75">
        <f t="shared" si="29"/>
        <v>0.1396959661688941</v>
      </c>
      <c r="P156" s="71">
        <v>303</v>
      </c>
      <c r="Q156" s="71">
        <v>363</v>
      </c>
      <c r="R156" s="71"/>
      <c r="S156" s="71"/>
      <c r="T156" s="71">
        <v>1443</v>
      </c>
      <c r="U156" s="71">
        <v>2080</v>
      </c>
      <c r="V156" s="71">
        <f>1350+1334</f>
        <v>2684</v>
      </c>
      <c r="W156" s="71"/>
      <c r="X156" s="71">
        <v>2.73</v>
      </c>
      <c r="Y156" s="71"/>
      <c r="Z156" s="71"/>
      <c r="AA156" s="71"/>
      <c r="AB156" s="71">
        <v>507</v>
      </c>
      <c r="AC156" s="76">
        <f>IFERROR(AD156/E156,0)</f>
        <v>2857.5043666666666</v>
      </c>
      <c r="AD156" s="77">
        <f t="shared" si="32"/>
        <v>8572.5131000000001</v>
      </c>
      <c r="AE156" s="48">
        <v>196</v>
      </c>
      <c r="AF156" s="78"/>
      <c r="AG156" s="50">
        <v>84</v>
      </c>
      <c r="AH156" s="79"/>
      <c r="AI156" s="50">
        <v>480</v>
      </c>
      <c r="AJ156" s="50">
        <v>715</v>
      </c>
      <c r="AK156" s="50">
        <f>440+400</f>
        <v>840</v>
      </c>
      <c r="AL156" s="76"/>
      <c r="AM156" s="72"/>
      <c r="AN156" s="52"/>
      <c r="AO156" s="50">
        <v>1.96</v>
      </c>
      <c r="AP156" s="76"/>
      <c r="AQ156" s="52">
        <v>160</v>
      </c>
      <c r="AR156" s="82">
        <f t="shared" si="33"/>
        <v>3256.6862000000001</v>
      </c>
      <c r="AS156" s="83">
        <f>AR156*E156</f>
        <v>9770.0586000000003</v>
      </c>
      <c r="AT156" s="74">
        <f t="shared" si="34"/>
        <v>399.18183333333354</v>
      </c>
      <c r="AU156" s="73">
        <f>IFERROR(AT156*E156,0)</f>
        <v>1197.5455000000006</v>
      </c>
      <c r="AV156" s="72" t="str">
        <f>D156</f>
        <v>M15</v>
      </c>
      <c r="AW156" s="72">
        <f>P156/E156</f>
        <v>101</v>
      </c>
      <c r="AX156" s="72">
        <f>Q156/E156</f>
        <v>121</v>
      </c>
      <c r="AY156" s="72">
        <f>R156/E156</f>
        <v>0</v>
      </c>
      <c r="AZ156" s="72">
        <f>S156/E156</f>
        <v>0</v>
      </c>
      <c r="BA156" s="72">
        <f>T156/E156</f>
        <v>481</v>
      </c>
      <c r="BB156" s="72">
        <f>U156/E156</f>
        <v>693.33333333333337</v>
      </c>
      <c r="BC156" s="72">
        <f>V156/E156</f>
        <v>894.66666666666663</v>
      </c>
      <c r="BD156" s="72"/>
      <c r="BE156" s="72">
        <f>X156/E156</f>
        <v>0.91</v>
      </c>
      <c r="BF156" s="72">
        <f>Y156/E156</f>
        <v>0</v>
      </c>
      <c r="BG156" s="72">
        <f>AB156/E156</f>
        <v>169</v>
      </c>
      <c r="BH156" s="84">
        <f>Z156/E156</f>
        <v>0</v>
      </c>
      <c r="BI156" s="72"/>
      <c r="BJ156" s="72">
        <f t="shared" si="30"/>
        <v>2460.91</v>
      </c>
    </row>
    <row r="157" spans="1:62" ht="18.75">
      <c r="A157" s="36">
        <v>45738</v>
      </c>
      <c r="B157" s="85" t="s">
        <v>89</v>
      </c>
      <c r="C157" s="72"/>
      <c r="D157" s="39" t="s">
        <v>40</v>
      </c>
      <c r="E157" s="66">
        <v>7</v>
      </c>
      <c r="F157" s="73"/>
      <c r="G157" s="37" t="s">
        <v>41</v>
      </c>
      <c r="H157" s="42">
        <v>5600</v>
      </c>
      <c r="I157" s="72">
        <f t="shared" si="23"/>
        <v>3452.0828000000001</v>
      </c>
      <c r="J157" s="74">
        <f t="shared" si="24"/>
        <v>3160.8310142857144</v>
      </c>
      <c r="K157" s="74">
        <f t="shared" si="25"/>
        <v>2147.9171999999999</v>
      </c>
      <c r="L157" s="74">
        <f t="shared" si="26"/>
        <v>2439.1689857142856</v>
      </c>
      <c r="M157" s="74">
        <f t="shared" si="27"/>
        <v>0.56443410969387753</v>
      </c>
      <c r="N157" s="74">
        <f t="shared" si="28"/>
        <v>0.61644335714285714</v>
      </c>
      <c r="O157" s="75">
        <f t="shared" si="29"/>
        <v>9.2144054648268831E-2</v>
      </c>
      <c r="P157" s="71">
        <f>401+562</f>
        <v>963</v>
      </c>
      <c r="Q157" s="71">
        <v>1194</v>
      </c>
      <c r="R157" s="71"/>
      <c r="S157" s="71"/>
      <c r="T157" s="71">
        <v>3461</v>
      </c>
      <c r="U157" s="71">
        <v>5154</v>
      </c>
      <c r="V157" s="71">
        <f>2723+2782</f>
        <v>5505</v>
      </c>
      <c r="W157" s="71"/>
      <c r="X157" s="71">
        <v>7.63</v>
      </c>
      <c r="Y157" s="71"/>
      <c r="Z157" s="71"/>
      <c r="AA157" s="71"/>
      <c r="AB157" s="71">
        <v>1144</v>
      </c>
      <c r="AC157" s="76">
        <f>IFERROR(AD157/E157,0)</f>
        <v>3160.8310142857144</v>
      </c>
      <c r="AD157" s="77">
        <f t="shared" si="32"/>
        <v>22125.8171</v>
      </c>
      <c r="AE157" s="48">
        <v>224</v>
      </c>
      <c r="AF157" s="78"/>
      <c r="AG157" s="50">
        <v>96</v>
      </c>
      <c r="AH157" s="79"/>
      <c r="AI157" s="50">
        <v>495</v>
      </c>
      <c r="AJ157" s="50">
        <v>740</v>
      </c>
      <c r="AK157" s="50">
        <v>800</v>
      </c>
      <c r="AL157" s="76"/>
      <c r="AM157" s="72"/>
      <c r="AN157" s="52"/>
      <c r="AO157" s="50">
        <v>2.2400000000000002</v>
      </c>
      <c r="AP157" s="76"/>
      <c r="AQ157" s="52">
        <v>155</v>
      </c>
      <c r="AR157" s="82">
        <f t="shared" si="33"/>
        <v>3452.0828000000001</v>
      </c>
      <c r="AS157" s="83">
        <f>AR157*E157</f>
        <v>24164.579600000001</v>
      </c>
      <c r="AT157" s="74">
        <f t="shared" si="34"/>
        <v>291.25178571428569</v>
      </c>
      <c r="AU157" s="73">
        <f>IFERROR(AT157*E157,0)</f>
        <v>2038.7624999999998</v>
      </c>
      <c r="AV157" s="72" t="str">
        <f>D157</f>
        <v>M25</v>
      </c>
      <c r="AW157" s="72">
        <f>P157/E157</f>
        <v>137.57142857142858</v>
      </c>
      <c r="AX157" s="72">
        <f>Q157/E157</f>
        <v>170.57142857142858</v>
      </c>
      <c r="AY157" s="72">
        <f>R157/E157</f>
        <v>0</v>
      </c>
      <c r="AZ157" s="72">
        <f>S157/E157</f>
        <v>0</v>
      </c>
      <c r="BA157" s="72">
        <f>T157/E157</f>
        <v>494.42857142857144</v>
      </c>
      <c r="BB157" s="72">
        <f>U157/E157</f>
        <v>736.28571428571433</v>
      </c>
      <c r="BC157" s="72">
        <f>V157/E157</f>
        <v>786.42857142857144</v>
      </c>
      <c r="BD157" s="72"/>
      <c r="BE157" s="72">
        <f>X157/E157</f>
        <v>1.0900000000000001</v>
      </c>
      <c r="BF157" s="72">
        <f>Y157/E157</f>
        <v>0</v>
      </c>
      <c r="BG157" s="72">
        <f>AB157/E157</f>
        <v>163.42857142857142</v>
      </c>
      <c r="BH157" s="84">
        <f>Z157/E157</f>
        <v>0</v>
      </c>
      <c r="BI157" s="72"/>
      <c r="BJ157" s="72">
        <f t="shared" si="30"/>
        <v>2489.8042857142864</v>
      </c>
    </row>
    <row r="158" spans="1:62" ht="18.75">
      <c r="A158" s="36">
        <v>45738</v>
      </c>
      <c r="B158" s="37" t="s">
        <v>76</v>
      </c>
      <c r="C158" s="72"/>
      <c r="D158" s="39" t="s">
        <v>43</v>
      </c>
      <c r="E158" s="40">
        <v>19</v>
      </c>
      <c r="F158" s="73"/>
      <c r="G158" s="37" t="s">
        <v>77</v>
      </c>
      <c r="H158" s="42">
        <v>5800</v>
      </c>
      <c r="I158" s="72">
        <f t="shared" si="23"/>
        <v>3611.0944</v>
      </c>
      <c r="J158" s="74">
        <f t="shared" si="24"/>
        <v>3492.785789473684</v>
      </c>
      <c r="K158" s="74">
        <f t="shared" si="25"/>
        <v>2188.9056</v>
      </c>
      <c r="L158" s="74">
        <f t="shared" si="26"/>
        <v>2307.214210526316</v>
      </c>
      <c r="M158" s="74">
        <f t="shared" si="27"/>
        <v>0.60220444646098004</v>
      </c>
      <c r="N158" s="74">
        <f t="shared" si="28"/>
        <v>0.62260248275862073</v>
      </c>
      <c r="O158" s="75">
        <f t="shared" si="29"/>
        <v>3.3872277791230809E-2</v>
      </c>
      <c r="P158" s="71">
        <v>4366</v>
      </c>
      <c r="Q158" s="71">
        <v>2481</v>
      </c>
      <c r="R158" s="71"/>
      <c r="S158" s="71"/>
      <c r="T158" s="71">
        <v>9513</v>
      </c>
      <c r="U158" s="71">
        <v>14160</v>
      </c>
      <c r="V158" s="71">
        <v>13566</v>
      </c>
      <c r="W158" s="71"/>
      <c r="X158" s="71">
        <v>30.5</v>
      </c>
      <c r="Y158" s="71"/>
      <c r="Z158" s="71"/>
      <c r="AA158" s="71"/>
      <c r="AB158" s="71">
        <v>3185</v>
      </c>
      <c r="AC158" s="76">
        <f>IFERROR(AD158/E158,0)</f>
        <v>3492.785789473684</v>
      </c>
      <c r="AD158" s="77">
        <f t="shared" si="32"/>
        <v>66362.929999999993</v>
      </c>
      <c r="AE158" s="50">
        <v>252</v>
      </c>
      <c r="AF158" s="78"/>
      <c r="AG158" s="50">
        <v>108</v>
      </c>
      <c r="AH158" s="79"/>
      <c r="AI158" s="50">
        <v>525</v>
      </c>
      <c r="AJ158" s="50">
        <v>760</v>
      </c>
      <c r="AK158" s="50">
        <f t="shared" ref="AK158:AK159" si="38">350+360</f>
        <v>710</v>
      </c>
      <c r="AL158" s="76"/>
      <c r="AM158" s="72"/>
      <c r="AN158" s="52"/>
      <c r="AO158" s="50">
        <v>2.52</v>
      </c>
      <c r="AP158" s="76"/>
      <c r="AQ158" s="52">
        <v>155</v>
      </c>
      <c r="AR158" s="82">
        <f t="shared" si="33"/>
        <v>3611.0944</v>
      </c>
      <c r="AS158" s="83">
        <f>AR158*E158</f>
        <v>68610.793600000005</v>
      </c>
      <c r="AT158" s="74">
        <f t="shared" si="34"/>
        <v>118.30861052631599</v>
      </c>
      <c r="AU158" s="73">
        <f>IFERROR(AT158*E158,0)</f>
        <v>2247.8636000000038</v>
      </c>
      <c r="AV158" s="72" t="str">
        <f>D158</f>
        <v>M30</v>
      </c>
      <c r="AW158" s="72">
        <f>P158/E158</f>
        <v>229.78947368421052</v>
      </c>
      <c r="AX158" s="72">
        <f>Q158/E158</f>
        <v>130.57894736842104</v>
      </c>
      <c r="AY158" s="72">
        <f>R158/E158</f>
        <v>0</v>
      </c>
      <c r="AZ158" s="72">
        <f>S158/E158</f>
        <v>0</v>
      </c>
      <c r="BA158" s="72">
        <f>T158/E158</f>
        <v>500.68421052631578</v>
      </c>
      <c r="BB158" s="72">
        <f>U158/E158</f>
        <v>745.26315789473688</v>
      </c>
      <c r="BC158" s="72">
        <f>V158/E158</f>
        <v>714</v>
      </c>
      <c r="BD158" s="72"/>
      <c r="BE158" s="72">
        <f>X158/E158</f>
        <v>1.6052631578947369</v>
      </c>
      <c r="BF158" s="72">
        <f>Y158/E158</f>
        <v>0</v>
      </c>
      <c r="BG158" s="72">
        <f>AB158/E158</f>
        <v>167.63157894736841</v>
      </c>
      <c r="BH158" s="84">
        <f>Z158/E158</f>
        <v>0</v>
      </c>
      <c r="BI158" s="72"/>
      <c r="BJ158" s="72">
        <f t="shared" si="30"/>
        <v>2489.5526315789471</v>
      </c>
    </row>
    <row r="159" spans="1:62" ht="18.75">
      <c r="A159" s="36">
        <v>45738</v>
      </c>
      <c r="B159" s="37" t="s">
        <v>76</v>
      </c>
      <c r="C159" s="72"/>
      <c r="D159" s="39" t="s">
        <v>43</v>
      </c>
      <c r="E159" s="40">
        <v>20</v>
      </c>
      <c r="F159" s="73"/>
      <c r="G159" s="37" t="s">
        <v>77</v>
      </c>
      <c r="H159" s="42">
        <v>5800</v>
      </c>
      <c r="I159" s="72">
        <f t="shared" si="23"/>
        <v>3611.0944</v>
      </c>
      <c r="J159" s="74">
        <f t="shared" si="24"/>
        <v>3418.6419010526311</v>
      </c>
      <c r="K159" s="74">
        <f t="shared" si="25"/>
        <v>2188.9056</v>
      </c>
      <c r="L159" s="74">
        <f t="shared" si="26"/>
        <v>2381.3580989473689</v>
      </c>
      <c r="M159" s="74">
        <f t="shared" si="27"/>
        <v>0.58942101742286745</v>
      </c>
      <c r="N159" s="74">
        <f t="shared" si="28"/>
        <v>0.62260248275862073</v>
      </c>
      <c r="O159" s="75">
        <f t="shared" si="29"/>
        <v>5.6295015540560454E-2</v>
      </c>
      <c r="P159" s="71">
        <v>4220.6315789473683</v>
      </c>
      <c r="Q159" s="71">
        <v>2610.9473684210525</v>
      </c>
      <c r="R159" s="71">
        <v>0</v>
      </c>
      <c r="S159" s="71">
        <v>0</v>
      </c>
      <c r="T159" s="71">
        <v>9625.2631578947367</v>
      </c>
      <c r="U159" s="71">
        <v>14585.684210526315</v>
      </c>
      <c r="V159" s="71">
        <v>15730.105263157895</v>
      </c>
      <c r="W159" s="71">
        <v>0</v>
      </c>
      <c r="X159" s="71">
        <v>27.70105263157895</v>
      </c>
      <c r="Y159" s="71">
        <v>0</v>
      </c>
      <c r="Z159" s="71">
        <v>0</v>
      </c>
      <c r="AA159" s="71">
        <v>0</v>
      </c>
      <c r="AB159" s="71">
        <v>3312.8421052631579</v>
      </c>
      <c r="AC159" s="76">
        <f>IFERROR(AD159/E159,0)</f>
        <v>3418.6419010526311</v>
      </c>
      <c r="AD159" s="77">
        <f t="shared" si="32"/>
        <v>68372.838021052623</v>
      </c>
      <c r="AE159" s="50">
        <v>252</v>
      </c>
      <c r="AF159" s="78"/>
      <c r="AG159" s="50">
        <v>108</v>
      </c>
      <c r="AH159" s="79"/>
      <c r="AI159" s="50">
        <v>525</v>
      </c>
      <c r="AJ159" s="50">
        <v>760</v>
      </c>
      <c r="AK159" s="50">
        <f t="shared" si="38"/>
        <v>710</v>
      </c>
      <c r="AL159" s="76"/>
      <c r="AM159" s="72"/>
      <c r="AN159" s="52"/>
      <c r="AO159" s="50">
        <v>2.52</v>
      </c>
      <c r="AP159" s="76"/>
      <c r="AQ159" s="52">
        <v>155</v>
      </c>
      <c r="AR159" s="82">
        <f t="shared" si="33"/>
        <v>3611.0944</v>
      </c>
      <c r="AS159" s="83">
        <f>AR159*E159</f>
        <v>72221.888000000006</v>
      </c>
      <c r="AT159" s="74">
        <f t="shared" si="34"/>
        <v>192.45249894736889</v>
      </c>
      <c r="AU159" s="73">
        <f>IFERROR(AT159*E159,0)</f>
        <v>3849.0499789473779</v>
      </c>
      <c r="AV159" s="72" t="str">
        <f>D159</f>
        <v>M30</v>
      </c>
      <c r="AW159" s="72">
        <f>P159/E159</f>
        <v>211.03157894736842</v>
      </c>
      <c r="AX159" s="72">
        <f>Q159/E159</f>
        <v>130.54736842105262</v>
      </c>
      <c r="AY159" s="72">
        <f>R159/E159</f>
        <v>0</v>
      </c>
      <c r="AZ159" s="72">
        <f>S159/E159</f>
        <v>0</v>
      </c>
      <c r="BA159" s="72">
        <f>T159/E159</f>
        <v>481.26315789473682</v>
      </c>
      <c r="BB159" s="72">
        <f>U159/E159</f>
        <v>729.28421052631575</v>
      </c>
      <c r="BC159" s="72">
        <f>V159/E159</f>
        <v>786.50526315789477</v>
      </c>
      <c r="BD159" s="72"/>
      <c r="BE159" s="72">
        <f>X159/E159</f>
        <v>1.3850526315789475</v>
      </c>
      <c r="BF159" s="72">
        <f>Y159/E159</f>
        <v>0</v>
      </c>
      <c r="BG159" s="72">
        <f>AB159/E159</f>
        <v>165.6421052631579</v>
      </c>
      <c r="BH159" s="84">
        <f>Z159/E159</f>
        <v>0</v>
      </c>
      <c r="BI159" s="72"/>
      <c r="BJ159" s="72">
        <f t="shared" si="30"/>
        <v>2505.6587368421056</v>
      </c>
    </row>
    <row r="160" spans="1:62" ht="18.75">
      <c r="A160" s="36">
        <v>45738</v>
      </c>
      <c r="B160" s="37" t="s">
        <v>47</v>
      </c>
      <c r="C160" s="72"/>
      <c r="D160" s="39" t="s">
        <v>43</v>
      </c>
      <c r="E160" s="66">
        <v>13</v>
      </c>
      <c r="F160" s="73"/>
      <c r="G160" s="37" t="s">
        <v>78</v>
      </c>
      <c r="H160" s="42">
        <v>5700</v>
      </c>
      <c r="I160" s="72">
        <f t="shared" si="23"/>
        <v>3886.9700000000003</v>
      </c>
      <c r="J160" s="74">
        <f t="shared" si="24"/>
        <v>3555.6780538461535</v>
      </c>
      <c r="K160" s="74">
        <f t="shared" si="25"/>
        <v>1813.0299999999997</v>
      </c>
      <c r="L160" s="74">
        <f t="shared" si="26"/>
        <v>2144.3219461538465</v>
      </c>
      <c r="M160" s="74">
        <f t="shared" si="27"/>
        <v>0.62380316734143049</v>
      </c>
      <c r="N160" s="74">
        <f t="shared" si="28"/>
        <v>0.68192456140350877</v>
      </c>
      <c r="O160" s="75">
        <f t="shared" si="29"/>
        <v>9.3172649811613245E-2</v>
      </c>
      <c r="P160" s="71">
        <v>2983</v>
      </c>
      <c r="Q160" s="71">
        <v>1955</v>
      </c>
      <c r="R160" s="71">
        <v>0</v>
      </c>
      <c r="S160" s="71">
        <v>0</v>
      </c>
      <c r="T160" s="71">
        <v>6214</v>
      </c>
      <c r="U160" s="71">
        <v>9591</v>
      </c>
      <c r="V160" s="71">
        <f>4963+4596</f>
        <v>9559</v>
      </c>
      <c r="W160" s="71">
        <v>0</v>
      </c>
      <c r="X160" s="71">
        <v>24.11</v>
      </c>
      <c r="Y160" s="71">
        <v>0</v>
      </c>
      <c r="Z160" s="71">
        <v>0</v>
      </c>
      <c r="AA160" s="71">
        <v>0</v>
      </c>
      <c r="AB160" s="71">
        <v>2316</v>
      </c>
      <c r="AC160" s="76">
        <f>IFERROR(AD160/E160,0)</f>
        <v>3555.6780538461535</v>
      </c>
      <c r="AD160" s="77">
        <f t="shared" si="32"/>
        <v>46223.814699999995</v>
      </c>
      <c r="AE160" s="48">
        <v>320</v>
      </c>
      <c r="AF160" s="78"/>
      <c r="AG160" s="50">
        <v>80</v>
      </c>
      <c r="AH160" s="79"/>
      <c r="AI160" s="50">
        <v>515</v>
      </c>
      <c r="AJ160" s="50">
        <v>780</v>
      </c>
      <c r="AK160" s="50">
        <f>360+300</f>
        <v>660</v>
      </c>
      <c r="AL160" s="76"/>
      <c r="AM160" s="72"/>
      <c r="AN160" s="52">
        <v>2</v>
      </c>
      <c r="AO160" s="50"/>
      <c r="AP160" s="76"/>
      <c r="AQ160" s="52">
        <v>152</v>
      </c>
      <c r="AR160" s="82">
        <f t="shared" si="33"/>
        <v>3886.9700000000003</v>
      </c>
      <c r="AS160" s="83">
        <f>AR160*E160</f>
        <v>50530.61</v>
      </c>
      <c r="AT160" s="74">
        <f t="shared" si="34"/>
        <v>331.29194615384677</v>
      </c>
      <c r="AU160" s="73">
        <f>IFERROR(AT160*E160,0)</f>
        <v>4306.795300000008</v>
      </c>
      <c r="AV160" s="72" t="str">
        <f>D160</f>
        <v>M30</v>
      </c>
      <c r="AW160" s="72">
        <f>P160/E160</f>
        <v>229.46153846153845</v>
      </c>
      <c r="AX160" s="72">
        <f>Q160/E160</f>
        <v>150.38461538461539</v>
      </c>
      <c r="AY160" s="72">
        <f>R160/E160</f>
        <v>0</v>
      </c>
      <c r="AZ160" s="72">
        <f>S160/E160</f>
        <v>0</v>
      </c>
      <c r="BA160" s="72">
        <f>T160/E160</f>
        <v>478</v>
      </c>
      <c r="BB160" s="72">
        <f>U160/E160</f>
        <v>737.76923076923072</v>
      </c>
      <c r="BC160" s="72">
        <f>V160/E160</f>
        <v>735.30769230769226</v>
      </c>
      <c r="BD160" s="72"/>
      <c r="BE160" s="72">
        <f>X160/E160</f>
        <v>1.8546153846153846</v>
      </c>
      <c r="BF160" s="72">
        <f>Y160/E160</f>
        <v>0</v>
      </c>
      <c r="BG160" s="72">
        <f>AB160/E160</f>
        <v>178.15384615384616</v>
      </c>
      <c r="BH160" s="84">
        <f>Z160/E160</f>
        <v>0</v>
      </c>
      <c r="BI160" s="72"/>
      <c r="BJ160" s="72">
        <f t="shared" si="30"/>
        <v>2510.9315384615384</v>
      </c>
    </row>
    <row r="161" spans="1:62" ht="18.75">
      <c r="A161" s="36">
        <v>45738</v>
      </c>
      <c r="B161" s="37" t="s">
        <v>36</v>
      </c>
      <c r="C161" s="72"/>
      <c r="D161" s="39" t="s">
        <v>43</v>
      </c>
      <c r="E161" s="66">
        <v>4.5</v>
      </c>
      <c r="F161" s="73"/>
      <c r="G161" s="37" t="s">
        <v>59</v>
      </c>
      <c r="H161" s="42">
        <v>5800</v>
      </c>
      <c r="I161" s="72">
        <f t="shared" si="23"/>
        <v>3627.3514</v>
      </c>
      <c r="J161" s="74">
        <f t="shared" si="24"/>
        <v>3418.6419010526315</v>
      </c>
      <c r="K161" s="74">
        <f t="shared" si="25"/>
        <v>2172.6486</v>
      </c>
      <c r="L161" s="74">
        <f t="shared" si="26"/>
        <v>2381.3580989473685</v>
      </c>
      <c r="M161" s="74">
        <f t="shared" si="27"/>
        <v>0.58942101742286745</v>
      </c>
      <c r="N161" s="74">
        <f t="shared" si="28"/>
        <v>0.62540541379310344</v>
      </c>
      <c r="O161" s="75">
        <f t="shared" si="29"/>
        <v>6.1050412704268656E-2</v>
      </c>
      <c r="P161" s="71">
        <v>949.64210526315787</v>
      </c>
      <c r="Q161" s="71">
        <v>587.46315789473681</v>
      </c>
      <c r="R161" s="71">
        <v>0</v>
      </c>
      <c r="S161" s="71">
        <v>0</v>
      </c>
      <c r="T161" s="71">
        <v>2165.6842105263158</v>
      </c>
      <c r="U161" s="71">
        <v>3281.7789473684206</v>
      </c>
      <c r="V161" s="71">
        <v>3539.2736842105264</v>
      </c>
      <c r="W161" s="71">
        <v>0</v>
      </c>
      <c r="X161" s="71">
        <v>6.2327368421052638</v>
      </c>
      <c r="Y161" s="71">
        <v>0</v>
      </c>
      <c r="Z161" s="71">
        <v>0</v>
      </c>
      <c r="AA161" s="71">
        <v>0</v>
      </c>
      <c r="AB161" s="71">
        <v>745.38947368421054</v>
      </c>
      <c r="AC161" s="76">
        <f>IFERROR(AD161/E161,0)</f>
        <v>3418.6419010526315</v>
      </c>
      <c r="AD161" s="77">
        <f t="shared" si="32"/>
        <v>15383.888554736843</v>
      </c>
      <c r="AE161" s="48">
        <v>252</v>
      </c>
      <c r="AF161" s="78"/>
      <c r="AG161" s="50">
        <v>108</v>
      </c>
      <c r="AH161" s="79"/>
      <c r="AI161" s="50">
        <v>495</v>
      </c>
      <c r="AJ161" s="50">
        <v>743</v>
      </c>
      <c r="AK161" s="50">
        <f>300+475</f>
        <v>775</v>
      </c>
      <c r="AL161" s="76"/>
      <c r="AM161" s="72"/>
      <c r="AN161" s="52"/>
      <c r="AO161" s="50">
        <v>2.52</v>
      </c>
      <c r="AP161" s="76"/>
      <c r="AQ161" s="52">
        <v>150</v>
      </c>
      <c r="AR161" s="82">
        <f t="shared" si="33"/>
        <v>3627.3514</v>
      </c>
      <c r="AS161" s="83">
        <f>AR161*E161</f>
        <v>16323.0813</v>
      </c>
      <c r="AT161" s="74">
        <f t="shared" si="34"/>
        <v>208.7094989473685</v>
      </c>
      <c r="AU161" s="73">
        <f>IFERROR(AT161*E161,0)</f>
        <v>939.19274526315826</v>
      </c>
      <c r="AV161" s="72" t="str">
        <f>D161</f>
        <v>M30</v>
      </c>
      <c r="AW161" s="72">
        <f>P161/E161</f>
        <v>211.03157894736842</v>
      </c>
      <c r="AX161" s="72">
        <f>Q161/E161</f>
        <v>130.54736842105262</v>
      </c>
      <c r="AY161" s="72">
        <f>R161/E161</f>
        <v>0</v>
      </c>
      <c r="AZ161" s="72">
        <f>S161/E161</f>
        <v>0</v>
      </c>
      <c r="BA161" s="72">
        <f>T161/E161</f>
        <v>481.26315789473688</v>
      </c>
      <c r="BB161" s="72">
        <f>U161/E161</f>
        <v>729.28421052631575</v>
      </c>
      <c r="BC161" s="72">
        <f>V161/E161</f>
        <v>786.50526315789477</v>
      </c>
      <c r="BD161" s="72"/>
      <c r="BE161" s="72">
        <f>X161/E161</f>
        <v>1.3850526315789475</v>
      </c>
      <c r="BF161" s="72">
        <f>Y161/E161</f>
        <v>0</v>
      </c>
      <c r="BG161" s="72">
        <f>AB161/E161</f>
        <v>165.6421052631579</v>
      </c>
      <c r="BH161" s="84">
        <f>Z161/E161</f>
        <v>0</v>
      </c>
      <c r="BI161" s="72"/>
      <c r="BJ161" s="72">
        <f t="shared" si="30"/>
        <v>2505.6587368421056</v>
      </c>
    </row>
    <row r="162" spans="1:62" ht="18.75">
      <c r="A162" s="36">
        <v>45738</v>
      </c>
      <c r="B162" s="37" t="s">
        <v>54</v>
      </c>
      <c r="C162" s="72"/>
      <c r="D162" s="39" t="s">
        <v>43</v>
      </c>
      <c r="E162" s="66">
        <v>23</v>
      </c>
      <c r="F162" s="73"/>
      <c r="G162" s="37" t="s">
        <v>44</v>
      </c>
      <c r="H162" s="42">
        <v>6000</v>
      </c>
      <c r="I162" s="72">
        <f t="shared" si="23"/>
        <v>3611.5942</v>
      </c>
      <c r="J162" s="74">
        <f t="shared" si="24"/>
        <v>3418.6419010526315</v>
      </c>
      <c r="K162" s="74">
        <f t="shared" si="25"/>
        <v>2388.4058</v>
      </c>
      <c r="L162" s="74">
        <f t="shared" si="26"/>
        <v>2581.3580989473685</v>
      </c>
      <c r="M162" s="74">
        <f t="shared" si="27"/>
        <v>0.56977365017543857</v>
      </c>
      <c r="N162" s="74">
        <f t="shared" si="28"/>
        <v>0.60193236666666672</v>
      </c>
      <c r="O162" s="75">
        <f t="shared" si="29"/>
        <v>5.6441213947549487E-2</v>
      </c>
      <c r="P162" s="71">
        <v>4853.726315789474</v>
      </c>
      <c r="Q162" s="71">
        <v>3002.5894736842101</v>
      </c>
      <c r="R162" s="71">
        <v>0</v>
      </c>
      <c r="S162" s="71">
        <v>0</v>
      </c>
      <c r="T162" s="71">
        <v>11069.052631578947</v>
      </c>
      <c r="U162" s="71">
        <v>16773.536842105263</v>
      </c>
      <c r="V162" s="71">
        <v>18089.621052631581</v>
      </c>
      <c r="W162" s="71">
        <v>0</v>
      </c>
      <c r="X162" s="71">
        <v>31.856210526315792</v>
      </c>
      <c r="Y162" s="71">
        <v>0</v>
      </c>
      <c r="Z162" s="71">
        <v>0</v>
      </c>
      <c r="AA162" s="71">
        <v>0</v>
      </c>
      <c r="AB162" s="71">
        <v>3809.7684210526318</v>
      </c>
      <c r="AC162" s="76">
        <f>IFERROR(AD162/E162,0)</f>
        <v>3418.6419010526315</v>
      </c>
      <c r="AD162" s="77">
        <f t="shared" si="32"/>
        <v>78628.763724210527</v>
      </c>
      <c r="AE162" s="48">
        <v>252</v>
      </c>
      <c r="AF162" s="78"/>
      <c r="AG162" s="50">
        <v>108</v>
      </c>
      <c r="AH162" s="79"/>
      <c r="AI162" s="50">
        <v>495</v>
      </c>
      <c r="AJ162" s="50">
        <v>743</v>
      </c>
      <c r="AK162" s="50">
        <f>300+475</f>
        <v>775</v>
      </c>
      <c r="AL162" s="76"/>
      <c r="AM162" s="72"/>
      <c r="AN162" s="52"/>
      <c r="AO162" s="50">
        <v>2.16</v>
      </c>
      <c r="AP162" s="76"/>
      <c r="AQ162" s="52">
        <v>150</v>
      </c>
      <c r="AR162" s="82">
        <f t="shared" si="33"/>
        <v>3611.5942</v>
      </c>
      <c r="AS162" s="83">
        <f>AR162*E162</f>
        <v>83066.666599999997</v>
      </c>
      <c r="AT162" s="74">
        <f t="shared" si="34"/>
        <v>192.95229894736849</v>
      </c>
      <c r="AU162" s="73">
        <f>IFERROR(AT162*E162,0)</f>
        <v>4437.9028757894757</v>
      </c>
      <c r="AV162" s="72" t="str">
        <f>D162</f>
        <v>M30</v>
      </c>
      <c r="AW162" s="72">
        <f>P162/E162</f>
        <v>211.03157894736844</v>
      </c>
      <c r="AX162" s="72">
        <f>Q162/E162</f>
        <v>130.54736842105262</v>
      </c>
      <c r="AY162" s="72">
        <f>R162/E162</f>
        <v>0</v>
      </c>
      <c r="AZ162" s="72">
        <f>S162/E162</f>
        <v>0</v>
      </c>
      <c r="BA162" s="72">
        <f>T162/E162</f>
        <v>481.26315789473682</v>
      </c>
      <c r="BB162" s="72">
        <f>U162/E162</f>
        <v>729.28421052631575</v>
      </c>
      <c r="BC162" s="72">
        <f>V162/E162</f>
        <v>786.50526315789477</v>
      </c>
      <c r="BD162" s="72"/>
      <c r="BE162" s="72">
        <f>X162/E162</f>
        <v>1.3850526315789475</v>
      </c>
      <c r="BF162" s="72">
        <f>Y162/E162</f>
        <v>0</v>
      </c>
      <c r="BG162" s="72">
        <f>AB162/E162</f>
        <v>165.6421052631579</v>
      </c>
      <c r="BH162" s="84">
        <f>Z162/E162</f>
        <v>0</v>
      </c>
      <c r="BI162" s="72"/>
      <c r="BJ162" s="72">
        <f t="shared" si="30"/>
        <v>2505.6587368421056</v>
      </c>
    </row>
    <row r="163" spans="1:62" ht="18.75">
      <c r="A163" s="36">
        <v>45738</v>
      </c>
      <c r="B163" s="37" t="s">
        <v>54</v>
      </c>
      <c r="C163" s="72"/>
      <c r="D163" s="39" t="s">
        <v>43</v>
      </c>
      <c r="E163" s="66">
        <v>19</v>
      </c>
      <c r="F163" s="73"/>
      <c r="G163" s="37" t="s">
        <v>44</v>
      </c>
      <c r="H163" s="42">
        <v>6000</v>
      </c>
      <c r="I163" s="72">
        <f t="shared" si="23"/>
        <v>3611.5942</v>
      </c>
      <c r="J163" s="74">
        <f t="shared" si="24"/>
        <v>3550.7436473684211</v>
      </c>
      <c r="K163" s="74">
        <f t="shared" si="25"/>
        <v>2388.4058</v>
      </c>
      <c r="L163" s="74">
        <f t="shared" si="26"/>
        <v>2449.2563526315789</v>
      </c>
      <c r="M163" s="74">
        <f t="shared" si="27"/>
        <v>0.59179060789473681</v>
      </c>
      <c r="N163" s="74">
        <f t="shared" si="28"/>
        <v>0.60193236666666672</v>
      </c>
      <c r="O163" s="75">
        <f t="shared" si="29"/>
        <v>1.7137410828483187E-2</v>
      </c>
      <c r="P163" s="71">
        <v>4752</v>
      </c>
      <c r="Q163" s="71">
        <v>2102</v>
      </c>
      <c r="R163" s="71"/>
      <c r="S163" s="71"/>
      <c r="T163" s="71">
        <v>9451</v>
      </c>
      <c r="U163" s="71">
        <v>14193</v>
      </c>
      <c r="V163" s="71">
        <f>7072+6632</f>
        <v>13704</v>
      </c>
      <c r="W163" s="71"/>
      <c r="X163" s="71">
        <v>33.99</v>
      </c>
      <c r="Y163" s="71"/>
      <c r="Z163" s="71"/>
      <c r="AA163" s="71"/>
      <c r="AB163" s="71">
        <v>3007</v>
      </c>
      <c r="AC163" s="76">
        <f>IFERROR(AD163/E163,0)</f>
        <v>3550.7436473684211</v>
      </c>
      <c r="AD163" s="77">
        <f t="shared" si="32"/>
        <v>67464.129300000001</v>
      </c>
      <c r="AE163" s="48">
        <v>252</v>
      </c>
      <c r="AF163" s="78"/>
      <c r="AG163" s="50">
        <v>108</v>
      </c>
      <c r="AH163" s="79"/>
      <c r="AI163" s="50">
        <v>495</v>
      </c>
      <c r="AJ163" s="50">
        <v>743</v>
      </c>
      <c r="AK163" s="50">
        <f>300+475</f>
        <v>775</v>
      </c>
      <c r="AL163" s="76"/>
      <c r="AM163" s="72"/>
      <c r="AN163" s="52"/>
      <c r="AO163" s="50">
        <v>2.16</v>
      </c>
      <c r="AP163" s="76"/>
      <c r="AQ163" s="52">
        <v>150</v>
      </c>
      <c r="AR163" s="82">
        <f t="shared" si="33"/>
        <v>3611.5942</v>
      </c>
      <c r="AS163" s="83">
        <f>AR163*E163</f>
        <v>68620.289799999999</v>
      </c>
      <c r="AT163" s="74">
        <f t="shared" si="34"/>
        <v>60.850552631578921</v>
      </c>
      <c r="AU163" s="73">
        <f>IFERROR(AT163*E163,0)</f>
        <v>1156.1604999999995</v>
      </c>
      <c r="AV163" s="72" t="str">
        <f>D163</f>
        <v>M30</v>
      </c>
      <c r="AW163" s="72">
        <f>P163/E163</f>
        <v>250.10526315789474</v>
      </c>
      <c r="AX163" s="72">
        <f>Q163/E163</f>
        <v>110.63157894736842</v>
      </c>
      <c r="AY163" s="72">
        <f>R163/E163</f>
        <v>0</v>
      </c>
      <c r="AZ163" s="72">
        <f>S163/E163</f>
        <v>0</v>
      </c>
      <c r="BA163" s="72">
        <f>T163/E163</f>
        <v>497.42105263157896</v>
      </c>
      <c r="BB163" s="72">
        <f>U163/E163</f>
        <v>747</v>
      </c>
      <c r="BC163" s="72">
        <f>V163/E163</f>
        <v>721.26315789473688</v>
      </c>
      <c r="BD163" s="72"/>
      <c r="BE163" s="72">
        <f>X163/E163</f>
        <v>1.7889473684210528</v>
      </c>
      <c r="BF163" s="72">
        <f>Y163/E163</f>
        <v>0</v>
      </c>
      <c r="BG163" s="72">
        <f>AB163/E163</f>
        <v>158.26315789473685</v>
      </c>
      <c r="BH163" s="84">
        <f>Z163/E163</f>
        <v>0</v>
      </c>
      <c r="BI163" s="72"/>
      <c r="BJ163" s="72">
        <f t="shared" si="30"/>
        <v>2486.4731578947367</v>
      </c>
    </row>
    <row r="164" spans="1:62" ht="18.75">
      <c r="A164" s="36">
        <v>45738</v>
      </c>
      <c r="B164" s="37" t="s">
        <v>54</v>
      </c>
      <c r="C164" s="72"/>
      <c r="D164" s="39" t="s">
        <v>66</v>
      </c>
      <c r="E164" s="40">
        <v>40</v>
      </c>
      <c r="F164" s="73"/>
      <c r="G164" s="37" t="s">
        <v>67</v>
      </c>
      <c r="H164" s="42">
        <v>6200</v>
      </c>
      <c r="I164" s="72">
        <f t="shared" si="23"/>
        <v>3804.0542</v>
      </c>
      <c r="J164" s="74">
        <f t="shared" si="24"/>
        <v>3740.6500475000003</v>
      </c>
      <c r="K164" s="74">
        <f t="shared" si="25"/>
        <v>2395.9458</v>
      </c>
      <c r="L164" s="74">
        <f t="shared" si="26"/>
        <v>2459.3499524999997</v>
      </c>
      <c r="M164" s="74">
        <f t="shared" si="27"/>
        <v>0.60333065282258069</v>
      </c>
      <c r="N164" s="74">
        <f t="shared" si="28"/>
        <v>0.61355712903225812</v>
      </c>
      <c r="O164" s="75">
        <f t="shared" si="29"/>
        <v>1.6950035874747259E-2</v>
      </c>
      <c r="P164" s="71">
        <v>11200</v>
      </c>
      <c r="Q164" s="71">
        <v>5226</v>
      </c>
      <c r="R164" s="71"/>
      <c r="S164" s="71"/>
      <c r="T164" s="71">
        <v>19965</v>
      </c>
      <c r="U164" s="71">
        <v>29728</v>
      </c>
      <c r="V164" s="71">
        <f>13877+13506</f>
        <v>27383</v>
      </c>
      <c r="W164" s="71"/>
      <c r="X164" s="71">
        <v>77.47</v>
      </c>
      <c r="Y164" s="71"/>
      <c r="Z164" s="71"/>
      <c r="AA164" s="71"/>
      <c r="AB164" s="71">
        <v>6675</v>
      </c>
      <c r="AC164" s="76">
        <f>IFERROR(AD164/E164,0)</f>
        <v>3740.6500475000003</v>
      </c>
      <c r="AD164" s="77">
        <f t="shared" si="32"/>
        <v>149626.0019</v>
      </c>
      <c r="AE164" s="48">
        <v>290</v>
      </c>
      <c r="AF164" s="78"/>
      <c r="AG164" s="50">
        <v>120</v>
      </c>
      <c r="AH164" s="79"/>
      <c r="AI164" s="50">
        <v>490</v>
      </c>
      <c r="AJ164" s="50">
        <v>740</v>
      </c>
      <c r="AK164" s="50">
        <v>720</v>
      </c>
      <c r="AL164" s="76"/>
      <c r="AM164" s="72"/>
      <c r="AN164" s="52"/>
      <c r="AO164" s="50">
        <v>2.46</v>
      </c>
      <c r="AP164" s="76"/>
      <c r="AQ164" s="52">
        <v>160</v>
      </c>
      <c r="AR164" s="82">
        <f t="shared" si="33"/>
        <v>3804.0542</v>
      </c>
      <c r="AS164" s="83">
        <f>AR164*E164</f>
        <v>152162.16800000001</v>
      </c>
      <c r="AT164" s="74">
        <f t="shared" si="34"/>
        <v>63.404152499999782</v>
      </c>
      <c r="AU164" s="73">
        <f>IFERROR(AT164*E164,0)</f>
        <v>2536.1660999999913</v>
      </c>
      <c r="AV164" s="72" t="str">
        <f>D164</f>
        <v>M35</v>
      </c>
      <c r="AW164" s="72">
        <f>P164/E164</f>
        <v>280</v>
      </c>
      <c r="AX164" s="72">
        <f>Q164/E164</f>
        <v>130.65</v>
      </c>
      <c r="AY164" s="72">
        <f>R164/E164</f>
        <v>0</v>
      </c>
      <c r="AZ164" s="72">
        <f>S164/E164</f>
        <v>0</v>
      </c>
      <c r="BA164" s="72">
        <f>T164/E164</f>
        <v>499.125</v>
      </c>
      <c r="BB164" s="72">
        <f>U164/E164</f>
        <v>743.2</v>
      </c>
      <c r="BC164" s="72">
        <f>V164/E164</f>
        <v>684.57500000000005</v>
      </c>
      <c r="BD164" s="72"/>
      <c r="BE164" s="72">
        <f>X164/E164</f>
        <v>1.93675</v>
      </c>
      <c r="BF164" s="72">
        <f>Y164/E164</f>
        <v>0</v>
      </c>
      <c r="BG164" s="72">
        <f>AB164/E164</f>
        <v>166.875</v>
      </c>
      <c r="BH164" s="84">
        <f>Z164/E164</f>
        <v>0</v>
      </c>
      <c r="BI164" s="72"/>
      <c r="BJ164" s="72">
        <f t="shared" si="30"/>
        <v>2506.36175</v>
      </c>
    </row>
    <row r="165" spans="1:62" ht="18.75">
      <c r="A165" s="36">
        <v>45738</v>
      </c>
      <c r="B165" s="37" t="s">
        <v>54</v>
      </c>
      <c r="C165" s="72"/>
      <c r="D165" s="39" t="s">
        <v>66</v>
      </c>
      <c r="E165" s="40">
        <v>50</v>
      </c>
      <c r="F165" s="73"/>
      <c r="G165" s="37" t="s">
        <v>67</v>
      </c>
      <c r="H165" s="42">
        <v>6200</v>
      </c>
      <c r="I165" s="72">
        <f t="shared" si="23"/>
        <v>3804.0542</v>
      </c>
      <c r="J165" s="74">
        <f t="shared" si="24"/>
        <v>3521.9437000000007</v>
      </c>
      <c r="K165" s="74">
        <f t="shared" si="25"/>
        <v>2395.9458</v>
      </c>
      <c r="L165" s="74">
        <f t="shared" si="26"/>
        <v>2678.0562999999993</v>
      </c>
      <c r="M165" s="74">
        <f t="shared" si="27"/>
        <v>0.56805543548387105</v>
      </c>
      <c r="N165" s="74">
        <f t="shared" si="28"/>
        <v>0.61355712903225812</v>
      </c>
      <c r="O165" s="75">
        <f t="shared" si="29"/>
        <v>8.0100797749833363E-2</v>
      </c>
      <c r="P165" s="71">
        <v>10005</v>
      </c>
      <c r="Q165" s="71">
        <v>10027</v>
      </c>
      <c r="R165" s="71"/>
      <c r="S165" s="71"/>
      <c r="T165" s="71">
        <v>24446</v>
      </c>
      <c r="U165" s="71">
        <v>36804</v>
      </c>
      <c r="V165" s="71">
        <f>17413+17310</f>
        <v>34723</v>
      </c>
      <c r="W165" s="71"/>
      <c r="X165" s="71">
        <v>90.2</v>
      </c>
      <c r="Y165" s="71"/>
      <c r="Z165" s="71"/>
      <c r="AA165" s="71"/>
      <c r="AB165" s="71">
        <v>7985</v>
      </c>
      <c r="AC165" s="76">
        <f>IFERROR(AD165/E165,0)</f>
        <v>3521.9437000000007</v>
      </c>
      <c r="AD165" s="77">
        <f t="shared" si="32"/>
        <v>176097.18500000003</v>
      </c>
      <c r="AE165" s="48">
        <v>290</v>
      </c>
      <c r="AF165" s="78"/>
      <c r="AG165" s="50">
        <v>120</v>
      </c>
      <c r="AH165" s="79"/>
      <c r="AI165" s="50">
        <v>490</v>
      </c>
      <c r="AJ165" s="50">
        <v>740</v>
      </c>
      <c r="AK165" s="50">
        <v>720</v>
      </c>
      <c r="AL165" s="76"/>
      <c r="AM165" s="72"/>
      <c r="AN165" s="52"/>
      <c r="AO165" s="50">
        <v>2.46</v>
      </c>
      <c r="AP165" s="76"/>
      <c r="AQ165" s="52">
        <v>160</v>
      </c>
      <c r="AR165" s="82">
        <f t="shared" si="33"/>
        <v>3804.0542</v>
      </c>
      <c r="AS165" s="83">
        <f>AR165*E165</f>
        <v>190202.71</v>
      </c>
      <c r="AT165" s="74">
        <f t="shared" si="34"/>
        <v>282.11049999999932</v>
      </c>
      <c r="AU165" s="73">
        <f>IFERROR(AT165*E165,0)</f>
        <v>14105.524999999965</v>
      </c>
      <c r="AV165" s="72" t="str">
        <f>D165</f>
        <v>M35</v>
      </c>
      <c r="AW165" s="72">
        <f>P165/E165</f>
        <v>200.1</v>
      </c>
      <c r="AX165" s="72">
        <f>Q165/E165</f>
        <v>200.54</v>
      </c>
      <c r="AY165" s="72">
        <f>R165/E165</f>
        <v>0</v>
      </c>
      <c r="AZ165" s="72">
        <f>S165/E165</f>
        <v>0</v>
      </c>
      <c r="BA165" s="72">
        <f>T165/E165</f>
        <v>488.92</v>
      </c>
      <c r="BB165" s="72">
        <f>U165/E165</f>
        <v>736.08</v>
      </c>
      <c r="BC165" s="72">
        <f>V165/E165</f>
        <v>694.46</v>
      </c>
      <c r="BD165" s="72"/>
      <c r="BE165" s="72">
        <f>X165/E165</f>
        <v>1.804</v>
      </c>
      <c r="BF165" s="72">
        <f>Y165/E165</f>
        <v>0</v>
      </c>
      <c r="BG165" s="72">
        <f>AB165/E165</f>
        <v>159.69999999999999</v>
      </c>
      <c r="BH165" s="84">
        <f>Z165/E165</f>
        <v>0</v>
      </c>
      <c r="BI165" s="72"/>
      <c r="BJ165" s="72">
        <f t="shared" si="30"/>
        <v>2481.6039999999998</v>
      </c>
    </row>
    <row r="166" spans="1:62" ht="18.75">
      <c r="A166" s="36">
        <v>45738</v>
      </c>
      <c r="B166" s="37" t="s">
        <v>105</v>
      </c>
      <c r="C166" s="72"/>
      <c r="D166" s="39" t="s">
        <v>106</v>
      </c>
      <c r="E166" s="40">
        <v>24</v>
      </c>
      <c r="F166" s="73"/>
      <c r="G166" s="37" t="s">
        <v>107</v>
      </c>
      <c r="H166" s="42">
        <v>6200</v>
      </c>
      <c r="I166" s="72">
        <f t="shared" si="23"/>
        <v>4225.4549999999999</v>
      </c>
      <c r="J166" s="74">
        <f t="shared" si="24"/>
        <v>3786.1519958333333</v>
      </c>
      <c r="K166" s="74">
        <f t="shared" si="25"/>
        <v>1974.5450000000001</v>
      </c>
      <c r="L166" s="74">
        <f t="shared" si="26"/>
        <v>2413.8480041666667</v>
      </c>
      <c r="M166" s="74">
        <f t="shared" si="27"/>
        <v>0.61066967674731187</v>
      </c>
      <c r="N166" s="74">
        <f t="shared" si="28"/>
        <v>0.68152499999999994</v>
      </c>
      <c r="O166" s="75">
        <f t="shared" si="29"/>
        <v>0.11602888754865617</v>
      </c>
      <c r="P166" s="71">
        <v>6959</v>
      </c>
      <c r="Q166" s="71">
        <v>3137</v>
      </c>
      <c r="R166" s="71"/>
      <c r="S166" s="71"/>
      <c r="T166" s="71">
        <v>11983</v>
      </c>
      <c r="U166" s="71">
        <v>17897</v>
      </c>
      <c r="V166" s="71">
        <f>8069+8081</f>
        <v>16150</v>
      </c>
      <c r="W166" s="71"/>
      <c r="X166" s="71">
        <v>47.47</v>
      </c>
      <c r="Y166" s="71"/>
      <c r="Z166" s="71"/>
      <c r="AA166" s="71"/>
      <c r="AB166" s="71">
        <v>3887</v>
      </c>
      <c r="AC166" s="76">
        <f>IFERROR(AD166/E166,0)</f>
        <v>3786.1519958333333</v>
      </c>
      <c r="AD166" s="77">
        <f t="shared" si="32"/>
        <v>90867.647899999996</v>
      </c>
      <c r="AE166" s="48">
        <v>420</v>
      </c>
      <c r="AF166" s="78"/>
      <c r="AG166" s="50">
        <v>0</v>
      </c>
      <c r="AH166" s="79"/>
      <c r="AI166" s="50">
        <v>505</v>
      </c>
      <c r="AJ166" s="50">
        <v>755</v>
      </c>
      <c r="AK166" s="50">
        <f>380+300</f>
        <v>680</v>
      </c>
      <c r="AL166" s="76"/>
      <c r="AM166" s="72"/>
      <c r="AN166" s="52">
        <v>2.94</v>
      </c>
      <c r="AO166" s="50"/>
      <c r="AP166" s="76"/>
      <c r="AQ166" s="52">
        <v>160</v>
      </c>
      <c r="AR166" s="82">
        <f t="shared" si="33"/>
        <v>4225.4549999999999</v>
      </c>
      <c r="AS166" s="83">
        <f>AR166*E166</f>
        <v>101410.92</v>
      </c>
      <c r="AT166" s="74">
        <f t="shared" si="34"/>
        <v>439.3030041666666</v>
      </c>
      <c r="AU166" s="73">
        <f>IFERROR(AT166*E166,0)</f>
        <v>10543.272099999998</v>
      </c>
      <c r="AV166" s="72" t="str">
        <f>D166</f>
        <v>M35 PT</v>
      </c>
      <c r="AW166" s="72">
        <f>P166/E166</f>
        <v>289.95833333333331</v>
      </c>
      <c r="AX166" s="72">
        <f>Q166/E166</f>
        <v>130.70833333333334</v>
      </c>
      <c r="AY166" s="72">
        <f>R166/E166</f>
        <v>0</v>
      </c>
      <c r="AZ166" s="72">
        <f>S166/E166</f>
        <v>0</v>
      </c>
      <c r="BA166" s="72">
        <f>T166/E166</f>
        <v>499.29166666666669</v>
      </c>
      <c r="BB166" s="72">
        <f>U166/E166</f>
        <v>745.70833333333337</v>
      </c>
      <c r="BC166" s="72">
        <f>V166/E166</f>
        <v>672.91666666666663</v>
      </c>
      <c r="BD166" s="72"/>
      <c r="BE166" s="72">
        <f>X166/E166</f>
        <v>1.9779166666666665</v>
      </c>
      <c r="BF166" s="72">
        <f>Y166/E166</f>
        <v>0</v>
      </c>
      <c r="BG166" s="72">
        <f>AB166/E166</f>
        <v>161.95833333333334</v>
      </c>
      <c r="BH166" s="84">
        <f>Z166/E166</f>
        <v>0</v>
      </c>
      <c r="BI166" s="72"/>
      <c r="BJ166" s="72">
        <f t="shared" si="30"/>
        <v>2502.5195833333332</v>
      </c>
    </row>
    <row r="167" spans="1:62" ht="18.75">
      <c r="A167" s="36">
        <v>45738</v>
      </c>
      <c r="B167" s="65" t="s">
        <v>47</v>
      </c>
      <c r="C167" s="72"/>
      <c r="D167" s="39" t="s">
        <v>48</v>
      </c>
      <c r="E167" s="66">
        <v>6</v>
      </c>
      <c r="F167" s="73"/>
      <c r="G167" s="37" t="s">
        <v>49</v>
      </c>
      <c r="H167" s="42">
        <v>6600</v>
      </c>
      <c r="I167" s="72">
        <f t="shared" ref="I167:I230" si="39">AR167</f>
        <v>4390.09</v>
      </c>
      <c r="J167" s="74">
        <f t="shared" ref="J167:J230" si="40">AC167</f>
        <v>4316.8154999999997</v>
      </c>
      <c r="K167" s="74">
        <f t="shared" ref="K167:K230" si="41">H167-I167</f>
        <v>2209.91</v>
      </c>
      <c r="L167" s="74">
        <f t="shared" ref="L167:L230" si="42">H167-J167</f>
        <v>2283.1845000000003</v>
      </c>
      <c r="M167" s="74">
        <f t="shared" ref="M167:M230" si="43">($J167)/($H167)</f>
        <v>0.65406295454545449</v>
      </c>
      <c r="N167" s="74">
        <f t="shared" ref="N167:N230" si="44">I167/H167</f>
        <v>0.66516515151515154</v>
      </c>
      <c r="O167" s="75">
        <f t="shared" ref="O167:O230" si="45">IFERROR((N167-M167)/M167,0)</f>
        <v>1.6974202395261172E-2</v>
      </c>
      <c r="P167" s="71">
        <v>2395</v>
      </c>
      <c r="Q167" s="71">
        <v>604</v>
      </c>
      <c r="R167" s="71"/>
      <c r="S167" s="71"/>
      <c r="T167" s="71">
        <v>2933</v>
      </c>
      <c r="U167" s="71">
        <v>4451</v>
      </c>
      <c r="V167" s="71">
        <f>1880+1829</f>
        <v>3709</v>
      </c>
      <c r="W167" s="71"/>
      <c r="X167" s="71"/>
      <c r="Y167" s="71">
        <v>16.54</v>
      </c>
      <c r="Z167" s="71"/>
      <c r="AA167" s="71"/>
      <c r="AB167" s="71">
        <v>1027</v>
      </c>
      <c r="AC167" s="76">
        <f>IFERROR(AD167/E167,0)</f>
        <v>4316.8154999999997</v>
      </c>
      <c r="AD167" s="77">
        <f t="shared" si="32"/>
        <v>25900.893</v>
      </c>
      <c r="AE167" s="48">
        <v>400</v>
      </c>
      <c r="AF167" s="78"/>
      <c r="AG167" s="50">
        <v>100</v>
      </c>
      <c r="AH167" s="79"/>
      <c r="AI167" s="50">
        <v>510</v>
      </c>
      <c r="AJ167" s="50">
        <v>750</v>
      </c>
      <c r="AK167" s="50">
        <f>295+300</f>
        <v>595</v>
      </c>
      <c r="AL167" s="76"/>
      <c r="AM167" s="72"/>
      <c r="AN167" s="52">
        <v>3.5</v>
      </c>
      <c r="AO167" s="50"/>
      <c r="AP167" s="76"/>
      <c r="AQ167" s="52">
        <v>150</v>
      </c>
      <c r="AR167" s="82">
        <f t="shared" si="33"/>
        <v>4390.09</v>
      </c>
      <c r="AS167" s="83">
        <f>AR167*E167</f>
        <v>26340.54</v>
      </c>
      <c r="AT167" s="74">
        <f t="shared" si="34"/>
        <v>73.274500000000444</v>
      </c>
      <c r="AU167" s="73">
        <f>IFERROR(AT167*E167,0)</f>
        <v>439.64700000000266</v>
      </c>
      <c r="AV167" s="72" t="str">
        <f>D167</f>
        <v>M50</v>
      </c>
      <c r="AW167" s="72">
        <f>P167/E167</f>
        <v>399.16666666666669</v>
      </c>
      <c r="AX167" s="72">
        <f>Q167/E167</f>
        <v>100.66666666666667</v>
      </c>
      <c r="AY167" s="72">
        <f>R167/E167</f>
        <v>0</v>
      </c>
      <c r="AZ167" s="72">
        <f>S167/E167</f>
        <v>0</v>
      </c>
      <c r="BA167" s="72">
        <f>T167/E167</f>
        <v>488.83333333333331</v>
      </c>
      <c r="BB167" s="72">
        <f>U167/E167</f>
        <v>741.83333333333337</v>
      </c>
      <c r="BC167" s="72">
        <f>V167/E167</f>
        <v>618.16666666666663</v>
      </c>
      <c r="BD167" s="72"/>
      <c r="BE167" s="72">
        <f>X167/E167</f>
        <v>0</v>
      </c>
      <c r="BF167" s="72">
        <f>Y167/E167</f>
        <v>2.7566666666666664</v>
      </c>
      <c r="BG167" s="72">
        <f>AB167/E167</f>
        <v>171.16666666666666</v>
      </c>
      <c r="BH167" s="84">
        <f>Z167/E167</f>
        <v>0</v>
      </c>
      <c r="BI167" s="72"/>
      <c r="BJ167" s="72">
        <f t="shared" ref="BJ167:BJ185" si="46">SUM(AW167:BI167)</f>
        <v>2522.5899999999997</v>
      </c>
    </row>
    <row r="168" spans="1:62" ht="18.75">
      <c r="A168" s="36">
        <v>45739</v>
      </c>
      <c r="B168" s="37" t="s">
        <v>100</v>
      </c>
      <c r="C168" s="72"/>
      <c r="D168" s="39" t="s">
        <v>34</v>
      </c>
      <c r="E168" s="66">
        <v>7</v>
      </c>
      <c r="F168" s="73"/>
      <c r="G168" s="37" t="s">
        <v>82</v>
      </c>
      <c r="H168" s="42">
        <v>5150</v>
      </c>
      <c r="I168" s="72">
        <f t="shared" si="39"/>
        <v>3256.6862000000001</v>
      </c>
      <c r="J168" s="74">
        <f t="shared" si="40"/>
        <v>2888.2674857142861</v>
      </c>
      <c r="K168" s="74">
        <f t="shared" si="41"/>
        <v>1893.3137999999999</v>
      </c>
      <c r="L168" s="74">
        <f t="shared" si="42"/>
        <v>2261.7325142857139</v>
      </c>
      <c r="M168" s="74">
        <f t="shared" si="43"/>
        <v>0.56082863800277405</v>
      </c>
      <c r="N168" s="74">
        <f t="shared" si="44"/>
        <v>0.63236625242718447</v>
      </c>
      <c r="O168" s="75">
        <f t="shared" si="45"/>
        <v>0.12755699259433426</v>
      </c>
      <c r="P168" s="71">
        <v>707</v>
      </c>
      <c r="Q168" s="71">
        <v>846</v>
      </c>
      <c r="R168" s="71"/>
      <c r="S168" s="71"/>
      <c r="T168" s="71">
        <v>3354</v>
      </c>
      <c r="U168" s="71">
        <v>4955</v>
      </c>
      <c r="V168" s="71">
        <f>3233+3168</f>
        <v>6401</v>
      </c>
      <c r="W168" s="71"/>
      <c r="X168" s="71">
        <v>6.42</v>
      </c>
      <c r="Y168" s="71"/>
      <c r="Z168" s="71"/>
      <c r="AA168" s="71"/>
      <c r="AB168" s="71">
        <v>1257</v>
      </c>
      <c r="AC168" s="76">
        <f>IFERROR(AD168/E168,0)</f>
        <v>2888.2674857142861</v>
      </c>
      <c r="AD168" s="77">
        <f t="shared" si="32"/>
        <v>20217.872400000004</v>
      </c>
      <c r="AE168" s="48">
        <v>196</v>
      </c>
      <c r="AF168" s="78"/>
      <c r="AG168" s="50">
        <v>84</v>
      </c>
      <c r="AH168" s="79"/>
      <c r="AI168" s="50">
        <v>480</v>
      </c>
      <c r="AJ168" s="50">
        <v>715</v>
      </c>
      <c r="AK168" s="50">
        <f>440+400</f>
        <v>840</v>
      </c>
      <c r="AL168" s="76"/>
      <c r="AM168" s="72"/>
      <c r="AN168" s="52"/>
      <c r="AO168" s="50">
        <v>1.96</v>
      </c>
      <c r="AP168" s="76"/>
      <c r="AQ168" s="52">
        <v>160</v>
      </c>
      <c r="AR168" s="82">
        <f t="shared" si="33"/>
        <v>3256.6862000000001</v>
      </c>
      <c r="AS168" s="83">
        <f>AR168*E168</f>
        <v>22796.803400000001</v>
      </c>
      <c r="AT168" s="74">
        <f t="shared" si="34"/>
        <v>368.41871428571403</v>
      </c>
      <c r="AU168" s="73">
        <f>IFERROR(AT168*E168,0)</f>
        <v>2578.9309999999982</v>
      </c>
      <c r="AV168" s="72" t="str">
        <f>D168</f>
        <v>M15</v>
      </c>
      <c r="AW168" s="72">
        <f>P168/E168</f>
        <v>101</v>
      </c>
      <c r="AX168" s="72">
        <f>Q168/E168</f>
        <v>120.85714285714286</v>
      </c>
      <c r="AY168" s="72">
        <f>R168/E168</f>
        <v>0</v>
      </c>
      <c r="AZ168" s="72">
        <f>S168/E168</f>
        <v>0</v>
      </c>
      <c r="BA168" s="72">
        <f>T168/E168</f>
        <v>479.14285714285717</v>
      </c>
      <c r="BB168" s="72">
        <f>U168/E168</f>
        <v>707.85714285714289</v>
      </c>
      <c r="BC168" s="72">
        <f>V168/E168</f>
        <v>914.42857142857144</v>
      </c>
      <c r="BD168" s="72"/>
      <c r="BE168" s="72">
        <f>X168/E168</f>
        <v>0.91714285714285715</v>
      </c>
      <c r="BF168" s="72">
        <f>Y168/E168</f>
        <v>0</v>
      </c>
      <c r="BG168" s="72">
        <f>AB168/E168</f>
        <v>179.57142857142858</v>
      </c>
      <c r="BH168" s="84">
        <f>Z168/E168</f>
        <v>0</v>
      </c>
      <c r="BI168" s="72"/>
      <c r="BJ168" s="72">
        <f t="shared" si="46"/>
        <v>2503.7742857142857</v>
      </c>
    </row>
    <row r="169" spans="1:62" ht="18.75">
      <c r="A169" s="36">
        <v>45739</v>
      </c>
      <c r="B169" s="37" t="s">
        <v>55</v>
      </c>
      <c r="C169" s="72"/>
      <c r="D169" s="39" t="s">
        <v>40</v>
      </c>
      <c r="E169" s="66">
        <v>20</v>
      </c>
      <c r="F169" s="73"/>
      <c r="G169" s="37" t="s">
        <v>41</v>
      </c>
      <c r="H169" s="42">
        <v>5900</v>
      </c>
      <c r="I169" s="72">
        <f t="shared" si="39"/>
        <v>3452.0828000000001</v>
      </c>
      <c r="J169" s="74">
        <f t="shared" si="40"/>
        <v>3329.9303150000001</v>
      </c>
      <c r="K169" s="74">
        <f t="shared" si="41"/>
        <v>2447.9171999999999</v>
      </c>
      <c r="L169" s="74">
        <f t="shared" si="42"/>
        <v>2570.0696849999999</v>
      </c>
      <c r="M169" s="74">
        <f t="shared" si="43"/>
        <v>0.5643949686440678</v>
      </c>
      <c r="N169" s="74">
        <f t="shared" si="44"/>
        <v>0.58509877966101698</v>
      </c>
      <c r="O169" s="75">
        <f t="shared" si="45"/>
        <v>3.6683195576121284E-2</v>
      </c>
      <c r="P169" s="71">
        <v>3992</v>
      </c>
      <c r="Q169" s="71">
        <v>2417</v>
      </c>
      <c r="R169" s="71"/>
      <c r="S169" s="71"/>
      <c r="T169" s="71">
        <v>10153</v>
      </c>
      <c r="U169" s="71">
        <v>15147</v>
      </c>
      <c r="V169" s="71">
        <f>7393+7391</f>
        <v>14784</v>
      </c>
      <c r="W169" s="71"/>
      <c r="X169" s="71">
        <v>25.39</v>
      </c>
      <c r="Y169" s="71"/>
      <c r="Z169" s="71"/>
      <c r="AA169" s="71"/>
      <c r="AB169" s="71">
        <v>3248</v>
      </c>
      <c r="AC169" s="76">
        <f>IFERROR(AD169/E169,0)</f>
        <v>3329.9303150000001</v>
      </c>
      <c r="AD169" s="77">
        <f t="shared" si="32"/>
        <v>66598.606299999999</v>
      </c>
      <c r="AE169" s="48">
        <v>224</v>
      </c>
      <c r="AF169" s="78"/>
      <c r="AG169" s="50">
        <v>96</v>
      </c>
      <c r="AH169" s="79"/>
      <c r="AI169" s="50">
        <v>495</v>
      </c>
      <c r="AJ169" s="50">
        <v>740</v>
      </c>
      <c r="AK169" s="50">
        <v>800</v>
      </c>
      <c r="AL169" s="76"/>
      <c r="AM169" s="72"/>
      <c r="AN169" s="52"/>
      <c r="AO169" s="50">
        <v>2.2400000000000002</v>
      </c>
      <c r="AP169" s="76"/>
      <c r="AQ169" s="52">
        <v>155</v>
      </c>
      <c r="AR169" s="82">
        <f t="shared" si="33"/>
        <v>3452.0828000000001</v>
      </c>
      <c r="AS169" s="83">
        <f>AR169*E169</f>
        <v>69041.656000000003</v>
      </c>
      <c r="AT169" s="74">
        <f t="shared" si="34"/>
        <v>122.15248500000007</v>
      </c>
      <c r="AU169" s="73">
        <f>IFERROR(AT169*E169,0)</f>
        <v>2443.0497000000014</v>
      </c>
      <c r="AV169" s="72" t="str">
        <f>D169</f>
        <v>M25</v>
      </c>
      <c r="AW169" s="72">
        <f>P169/E169</f>
        <v>199.6</v>
      </c>
      <c r="AX169" s="72">
        <f>Q169/E169</f>
        <v>120.85</v>
      </c>
      <c r="AY169" s="72">
        <f>R169/E169</f>
        <v>0</v>
      </c>
      <c r="AZ169" s="72">
        <f>S169/E169</f>
        <v>0</v>
      </c>
      <c r="BA169" s="72">
        <f>T169/E169</f>
        <v>507.65</v>
      </c>
      <c r="BB169" s="72">
        <f>U169/E169</f>
        <v>757.35</v>
      </c>
      <c r="BC169" s="72">
        <f>V169/E169</f>
        <v>739.2</v>
      </c>
      <c r="BD169" s="72"/>
      <c r="BE169" s="72">
        <f>X169/E169</f>
        <v>1.2695000000000001</v>
      </c>
      <c r="BF169" s="72">
        <f>Y169/E169</f>
        <v>0</v>
      </c>
      <c r="BG169" s="72">
        <f>AB169/E169</f>
        <v>162.4</v>
      </c>
      <c r="BH169" s="84">
        <f>Z169/E169</f>
        <v>0</v>
      </c>
      <c r="BI169" s="72"/>
      <c r="BJ169" s="72">
        <f t="shared" si="46"/>
        <v>2488.3194999999996</v>
      </c>
    </row>
    <row r="170" spans="1:62" ht="18.75">
      <c r="A170" s="36">
        <v>45739</v>
      </c>
      <c r="B170" s="37" t="s">
        <v>55</v>
      </c>
      <c r="C170" s="72"/>
      <c r="D170" s="39" t="s">
        <v>40</v>
      </c>
      <c r="E170" s="66">
        <v>30.5</v>
      </c>
      <c r="F170" s="73"/>
      <c r="G170" s="37" t="s">
        <v>41</v>
      </c>
      <c r="H170" s="42">
        <v>5900</v>
      </c>
      <c r="I170" s="72">
        <f t="shared" si="39"/>
        <v>3452.0828000000001</v>
      </c>
      <c r="J170" s="74">
        <f t="shared" si="40"/>
        <v>3155.1669278688523</v>
      </c>
      <c r="K170" s="74">
        <f t="shared" si="41"/>
        <v>2447.9171999999999</v>
      </c>
      <c r="L170" s="74">
        <f t="shared" si="42"/>
        <v>2744.8330721311477</v>
      </c>
      <c r="M170" s="74">
        <f t="shared" si="43"/>
        <v>0.53477405557099189</v>
      </c>
      <c r="N170" s="74">
        <f t="shared" si="44"/>
        <v>0.58509877966101698</v>
      </c>
      <c r="O170" s="75">
        <f t="shared" si="45"/>
        <v>9.4104647683949619E-2</v>
      </c>
      <c r="P170" s="71">
        <f>2437+1754</f>
        <v>4191</v>
      </c>
      <c r="Q170" s="71">
        <v>5210</v>
      </c>
      <c r="R170" s="71"/>
      <c r="S170" s="71"/>
      <c r="T170" s="71">
        <v>14601</v>
      </c>
      <c r="U170" s="71">
        <v>22279</v>
      </c>
      <c r="V170" s="71">
        <f>12135+12459</f>
        <v>24594</v>
      </c>
      <c r="W170" s="71"/>
      <c r="X170" s="71">
        <v>30.19</v>
      </c>
      <c r="Y170" s="71"/>
      <c r="Z170" s="71"/>
      <c r="AA170" s="71"/>
      <c r="AB170" s="71">
        <v>5040</v>
      </c>
      <c r="AC170" s="76">
        <f>IFERROR(AD170/E170,0)</f>
        <v>3155.1669278688523</v>
      </c>
      <c r="AD170" s="77">
        <f t="shared" si="32"/>
        <v>96232.5913</v>
      </c>
      <c r="AE170" s="48">
        <v>224</v>
      </c>
      <c r="AF170" s="78"/>
      <c r="AG170" s="50">
        <v>96</v>
      </c>
      <c r="AH170" s="79"/>
      <c r="AI170" s="50">
        <v>495</v>
      </c>
      <c r="AJ170" s="50">
        <v>740</v>
      </c>
      <c r="AK170" s="50">
        <v>800</v>
      </c>
      <c r="AL170" s="76"/>
      <c r="AM170" s="72"/>
      <c r="AN170" s="52"/>
      <c r="AO170" s="50">
        <v>2.2400000000000002</v>
      </c>
      <c r="AP170" s="76"/>
      <c r="AQ170" s="52">
        <v>155</v>
      </c>
      <c r="AR170" s="82">
        <f t="shared" si="33"/>
        <v>3452.0828000000001</v>
      </c>
      <c r="AS170" s="83">
        <f>AR170*E170</f>
        <v>105288.5254</v>
      </c>
      <c r="AT170" s="74">
        <f t="shared" si="34"/>
        <v>296.91587213114781</v>
      </c>
      <c r="AU170" s="73">
        <f>IFERROR(AT170*E170,0)</f>
        <v>9055.9341000000077</v>
      </c>
      <c r="AV170" s="72" t="str">
        <f>D170</f>
        <v>M25</v>
      </c>
      <c r="AW170" s="72">
        <f>P170/E170</f>
        <v>137.40983606557376</v>
      </c>
      <c r="AX170" s="72">
        <f>Q170/E170</f>
        <v>170.81967213114754</v>
      </c>
      <c r="AY170" s="72">
        <f>R170/E170</f>
        <v>0</v>
      </c>
      <c r="AZ170" s="72">
        <f>S170/E170</f>
        <v>0</v>
      </c>
      <c r="BA170" s="72">
        <f>T170/E170</f>
        <v>478.72131147540983</v>
      </c>
      <c r="BB170" s="72">
        <f>U170/E170</f>
        <v>730.45901639344265</v>
      </c>
      <c r="BC170" s="72">
        <f>V170/E170</f>
        <v>806.36065573770497</v>
      </c>
      <c r="BD170" s="72"/>
      <c r="BE170" s="72">
        <f>X170/E170</f>
        <v>0.98983606557377057</v>
      </c>
      <c r="BF170" s="72">
        <f>Y170/E170</f>
        <v>0</v>
      </c>
      <c r="BG170" s="72">
        <f>AB170/E170</f>
        <v>165.24590163934425</v>
      </c>
      <c r="BH170" s="84">
        <f>Z170/E170</f>
        <v>0</v>
      </c>
      <c r="BI170" s="72"/>
      <c r="BJ170" s="72">
        <f t="shared" si="46"/>
        <v>2490.0062295081966</v>
      </c>
    </row>
    <row r="171" spans="1:62" ht="18.75">
      <c r="A171" s="36">
        <v>45739</v>
      </c>
      <c r="B171" s="37" t="s">
        <v>76</v>
      </c>
      <c r="C171" s="72"/>
      <c r="D171" s="39" t="s">
        <v>43</v>
      </c>
      <c r="E171" s="40">
        <v>3</v>
      </c>
      <c r="F171" s="73"/>
      <c r="G171" s="37" t="s">
        <v>77</v>
      </c>
      <c r="H171" s="42">
        <v>5800</v>
      </c>
      <c r="I171" s="72">
        <f t="shared" si="39"/>
        <v>3611.0944</v>
      </c>
      <c r="J171" s="74">
        <f t="shared" si="40"/>
        <v>3487.5297333333333</v>
      </c>
      <c r="K171" s="74">
        <f t="shared" si="41"/>
        <v>2188.9056</v>
      </c>
      <c r="L171" s="74">
        <f t="shared" si="42"/>
        <v>2312.4702666666667</v>
      </c>
      <c r="M171" s="74">
        <f t="shared" si="43"/>
        <v>0.60129822988505743</v>
      </c>
      <c r="N171" s="74">
        <f t="shared" si="44"/>
        <v>0.62260248275862073</v>
      </c>
      <c r="O171" s="75">
        <f t="shared" si="45"/>
        <v>3.5430426724581854E-2</v>
      </c>
      <c r="P171" s="71">
        <v>686</v>
      </c>
      <c r="Q171" s="71">
        <v>397</v>
      </c>
      <c r="R171" s="71"/>
      <c r="S171" s="71"/>
      <c r="T171" s="71">
        <v>1479</v>
      </c>
      <c r="U171" s="71">
        <v>2224</v>
      </c>
      <c r="V171" s="71">
        <v>2147</v>
      </c>
      <c r="W171" s="71"/>
      <c r="X171" s="71">
        <v>5.0599999999999996</v>
      </c>
      <c r="Y171" s="71"/>
      <c r="Z171" s="71"/>
      <c r="AA171" s="71"/>
      <c r="AB171" s="71">
        <v>527</v>
      </c>
      <c r="AC171" s="76">
        <f>IFERROR(AD171/E171,0)</f>
        <v>3487.5297333333333</v>
      </c>
      <c r="AD171" s="77">
        <f t="shared" si="32"/>
        <v>10462.5892</v>
      </c>
      <c r="AE171" s="50">
        <v>252</v>
      </c>
      <c r="AF171" s="78"/>
      <c r="AG171" s="50">
        <v>108</v>
      </c>
      <c r="AH171" s="79"/>
      <c r="AI171" s="50">
        <v>525</v>
      </c>
      <c r="AJ171" s="50">
        <v>760</v>
      </c>
      <c r="AK171" s="50">
        <f t="shared" ref="AK171" si="47">350+360</f>
        <v>710</v>
      </c>
      <c r="AL171" s="76"/>
      <c r="AM171" s="72"/>
      <c r="AN171" s="52"/>
      <c r="AO171" s="50">
        <v>2.52</v>
      </c>
      <c r="AP171" s="76"/>
      <c r="AQ171" s="52">
        <v>155</v>
      </c>
      <c r="AR171" s="82">
        <f t="shared" si="33"/>
        <v>3611.0944</v>
      </c>
      <c r="AS171" s="83">
        <f>AR171*E171</f>
        <v>10833.2832</v>
      </c>
      <c r="AT171" s="74">
        <f t="shared" si="34"/>
        <v>123.56466666666665</v>
      </c>
      <c r="AU171" s="73">
        <f>IFERROR(AT171*E171,0)</f>
        <v>370.69399999999996</v>
      </c>
      <c r="AV171" s="72" t="str">
        <f>D171</f>
        <v>M30</v>
      </c>
      <c r="AW171" s="72">
        <f>P171/E171</f>
        <v>228.66666666666666</v>
      </c>
      <c r="AX171" s="72">
        <f>Q171/E171</f>
        <v>132.33333333333334</v>
      </c>
      <c r="AY171" s="72">
        <f>R171/E171</f>
        <v>0</v>
      </c>
      <c r="AZ171" s="72">
        <f>S171/E171</f>
        <v>0</v>
      </c>
      <c r="BA171" s="72">
        <f>T171/E171</f>
        <v>493</v>
      </c>
      <c r="BB171" s="72">
        <f>U171/E171</f>
        <v>741.33333333333337</v>
      </c>
      <c r="BC171" s="72">
        <f>V171/E171</f>
        <v>715.66666666666663</v>
      </c>
      <c r="BD171" s="72"/>
      <c r="BE171" s="72">
        <f>X171/E171</f>
        <v>1.6866666666666665</v>
      </c>
      <c r="BF171" s="72">
        <f>Y171/E171</f>
        <v>0</v>
      </c>
      <c r="BG171" s="72">
        <f>AB171/E171</f>
        <v>175.66666666666666</v>
      </c>
      <c r="BH171" s="84">
        <f>Z171/E171</f>
        <v>0</v>
      </c>
      <c r="BI171" s="72"/>
      <c r="BJ171" s="72">
        <f t="shared" si="46"/>
        <v>2488.353333333333</v>
      </c>
    </row>
    <row r="172" spans="1:62" ht="18.75">
      <c r="A172" s="36">
        <v>45739</v>
      </c>
      <c r="B172" s="37" t="s">
        <v>36</v>
      </c>
      <c r="C172" s="72"/>
      <c r="D172" s="39" t="s">
        <v>43</v>
      </c>
      <c r="E172" s="66">
        <v>5</v>
      </c>
      <c r="F172" s="73"/>
      <c r="G172" s="37" t="s">
        <v>59</v>
      </c>
      <c r="H172" s="42">
        <v>5800</v>
      </c>
      <c r="I172" s="72">
        <f t="shared" si="39"/>
        <v>3627.3514</v>
      </c>
      <c r="J172" s="74">
        <f t="shared" si="40"/>
        <v>3418.1986599999996</v>
      </c>
      <c r="K172" s="74">
        <f t="shared" si="41"/>
        <v>2172.6486</v>
      </c>
      <c r="L172" s="74">
        <f t="shared" si="42"/>
        <v>2381.8013400000004</v>
      </c>
      <c r="M172" s="74">
        <f t="shared" si="43"/>
        <v>0.58934459655172411</v>
      </c>
      <c r="N172" s="74">
        <f t="shared" si="44"/>
        <v>0.62540541379310344</v>
      </c>
      <c r="O172" s="75">
        <f t="shared" si="45"/>
        <v>6.1188000114656915E-2</v>
      </c>
      <c r="P172" s="71">
        <f>550+512</f>
        <v>1062</v>
      </c>
      <c r="Q172" s="71">
        <v>656</v>
      </c>
      <c r="R172" s="71"/>
      <c r="S172" s="71"/>
      <c r="T172" s="71">
        <v>2332</v>
      </c>
      <c r="U172" s="71">
        <v>3554</v>
      </c>
      <c r="V172" s="71">
        <f>2032+2070</f>
        <v>4102</v>
      </c>
      <c r="W172" s="71"/>
      <c r="X172" s="71">
        <v>5.69</v>
      </c>
      <c r="Y172" s="71"/>
      <c r="Z172" s="71"/>
      <c r="AA172" s="71"/>
      <c r="AB172" s="71">
        <v>857</v>
      </c>
      <c r="AC172" s="76">
        <f>IFERROR(AD172/E172,0)</f>
        <v>3418.1986599999996</v>
      </c>
      <c r="AD172" s="77">
        <f t="shared" si="32"/>
        <v>17090.993299999998</v>
      </c>
      <c r="AE172" s="48">
        <v>252</v>
      </c>
      <c r="AF172" s="78"/>
      <c r="AG172" s="50">
        <v>108</v>
      </c>
      <c r="AH172" s="79"/>
      <c r="AI172" s="50">
        <v>495</v>
      </c>
      <c r="AJ172" s="50">
        <v>743</v>
      </c>
      <c r="AK172" s="50">
        <f>300+475</f>
        <v>775</v>
      </c>
      <c r="AL172" s="76"/>
      <c r="AM172" s="72"/>
      <c r="AN172" s="52"/>
      <c r="AO172" s="50">
        <v>2.52</v>
      </c>
      <c r="AP172" s="76"/>
      <c r="AQ172" s="52">
        <v>150</v>
      </c>
      <c r="AR172" s="82">
        <f t="shared" si="33"/>
        <v>3627.3514</v>
      </c>
      <c r="AS172" s="83">
        <f>AR172*E172</f>
        <v>18136.757000000001</v>
      </c>
      <c r="AT172" s="74">
        <f t="shared" si="34"/>
        <v>209.15274000000045</v>
      </c>
      <c r="AU172" s="73">
        <f>IFERROR(AT172*E172,0)</f>
        <v>1045.7637000000022</v>
      </c>
      <c r="AV172" s="72" t="str">
        <f>D172</f>
        <v>M30</v>
      </c>
      <c r="AW172" s="72">
        <f>P172/E172</f>
        <v>212.4</v>
      </c>
      <c r="AX172" s="72">
        <f>Q172/E172</f>
        <v>131.19999999999999</v>
      </c>
      <c r="AY172" s="72">
        <f>R172/E172</f>
        <v>0</v>
      </c>
      <c r="AZ172" s="72">
        <f>S172/E172</f>
        <v>0</v>
      </c>
      <c r="BA172" s="72">
        <f>T172/E172</f>
        <v>466.4</v>
      </c>
      <c r="BB172" s="72">
        <f>U172/E172</f>
        <v>710.8</v>
      </c>
      <c r="BC172" s="72">
        <f>V172/E172</f>
        <v>820.4</v>
      </c>
      <c r="BD172" s="72"/>
      <c r="BE172" s="72">
        <f>X172/E172</f>
        <v>1.1380000000000001</v>
      </c>
      <c r="BF172" s="72">
        <f>Y172/E172</f>
        <v>0</v>
      </c>
      <c r="BG172" s="72">
        <f>AB172/E172</f>
        <v>171.4</v>
      </c>
      <c r="BH172" s="84">
        <f>Z172/E172</f>
        <v>0</v>
      </c>
      <c r="BI172" s="72"/>
      <c r="BJ172" s="72">
        <f t="shared" si="46"/>
        <v>2513.7379999999998</v>
      </c>
    </row>
    <row r="173" spans="1:62" ht="18.75">
      <c r="A173" s="36">
        <v>45739</v>
      </c>
      <c r="B173" s="37" t="s">
        <v>96</v>
      </c>
      <c r="C173" s="72"/>
      <c r="D173" s="39" t="s">
        <v>43</v>
      </c>
      <c r="E173" s="66">
        <v>12</v>
      </c>
      <c r="F173" s="73"/>
      <c r="G173" s="37" t="s">
        <v>97</v>
      </c>
      <c r="H173" s="42">
        <v>6355.93</v>
      </c>
      <c r="I173" s="72">
        <f t="shared" si="39"/>
        <v>4023.5850000000005</v>
      </c>
      <c r="J173" s="74">
        <f t="shared" si="40"/>
        <v>3547.469716666667</v>
      </c>
      <c r="K173" s="74">
        <f t="shared" si="41"/>
        <v>2332.3449999999998</v>
      </c>
      <c r="L173" s="74">
        <f t="shared" si="42"/>
        <v>2808.4602833333333</v>
      </c>
      <c r="M173" s="74">
        <f t="shared" si="43"/>
        <v>0.55813542890917089</v>
      </c>
      <c r="N173" s="74">
        <f t="shared" si="44"/>
        <v>0.63304425945534337</v>
      </c>
      <c r="O173" s="75">
        <f t="shared" si="45"/>
        <v>0.13421264206892497</v>
      </c>
      <c r="P173" s="71">
        <v>3003</v>
      </c>
      <c r="Q173" s="71">
        <v>1328</v>
      </c>
      <c r="R173" s="71"/>
      <c r="S173" s="71"/>
      <c r="T173" s="71">
        <v>5964</v>
      </c>
      <c r="U173" s="71">
        <v>8930</v>
      </c>
      <c r="V173" s="71">
        <f>4379+4236</f>
        <v>8615</v>
      </c>
      <c r="W173" s="71"/>
      <c r="X173" s="71">
        <v>21.58</v>
      </c>
      <c r="Y173" s="71"/>
      <c r="Z173" s="71"/>
      <c r="AA173" s="71"/>
      <c r="AB173" s="71">
        <v>2081</v>
      </c>
      <c r="AC173" s="76">
        <f>IFERROR(AD173/E173,0)</f>
        <v>3547.469716666667</v>
      </c>
      <c r="AD173" s="77">
        <f t="shared" si="32"/>
        <v>42569.636600000005</v>
      </c>
      <c r="AE173" s="48">
        <v>420</v>
      </c>
      <c r="AF173" s="78"/>
      <c r="AG173" s="50">
        <v>0</v>
      </c>
      <c r="AH173" s="79"/>
      <c r="AI173" s="50">
        <v>575</v>
      </c>
      <c r="AJ173" s="50">
        <v>575</v>
      </c>
      <c r="AK173" s="50">
        <f>365+300</f>
        <v>665</v>
      </c>
      <c r="AL173" s="76"/>
      <c r="AM173" s="72"/>
      <c r="AN173" s="52"/>
      <c r="AO173" s="50">
        <v>3</v>
      </c>
      <c r="AP173" s="76"/>
      <c r="AQ173" s="52">
        <v>215</v>
      </c>
      <c r="AR173" s="82">
        <f t="shared" si="33"/>
        <v>4023.5850000000005</v>
      </c>
      <c r="AS173" s="83">
        <f>AR173*E173</f>
        <v>48283.020000000004</v>
      </c>
      <c r="AT173" s="74">
        <f t="shared" si="34"/>
        <v>476.11528333333354</v>
      </c>
      <c r="AU173" s="73">
        <f>IFERROR(AT173*E173,0)</f>
        <v>5713.3834000000024</v>
      </c>
      <c r="AV173" s="72" t="str">
        <f>D173</f>
        <v>M30</v>
      </c>
      <c r="AW173" s="72">
        <f>P173/E173</f>
        <v>250.25</v>
      </c>
      <c r="AX173" s="72">
        <f>Q173/E173</f>
        <v>110.66666666666667</v>
      </c>
      <c r="AY173" s="72">
        <f>R173/E173</f>
        <v>0</v>
      </c>
      <c r="AZ173" s="72">
        <f>S173/E173</f>
        <v>0</v>
      </c>
      <c r="BA173" s="72">
        <f>T173/E173</f>
        <v>497</v>
      </c>
      <c r="BB173" s="72">
        <f>U173/E173</f>
        <v>744.16666666666663</v>
      </c>
      <c r="BC173" s="72">
        <f>V173/E173</f>
        <v>717.91666666666663</v>
      </c>
      <c r="BD173" s="72"/>
      <c r="BE173" s="72">
        <f>X173/E173</f>
        <v>1.7983333333333331</v>
      </c>
      <c r="BF173" s="72">
        <f>Y173/E173</f>
        <v>0</v>
      </c>
      <c r="BG173" s="72">
        <f>AB173/E173</f>
        <v>173.41666666666666</v>
      </c>
      <c r="BH173" s="84">
        <f>Z173/E173</f>
        <v>0</v>
      </c>
      <c r="BI173" s="72"/>
      <c r="BJ173" s="72">
        <f t="shared" si="46"/>
        <v>2495.2149999999997</v>
      </c>
    </row>
    <row r="174" spans="1:62" ht="18.75">
      <c r="A174" s="36">
        <v>45739</v>
      </c>
      <c r="B174" s="37" t="s">
        <v>108</v>
      </c>
      <c r="C174" s="72"/>
      <c r="D174" s="39" t="s">
        <v>109</v>
      </c>
      <c r="E174" s="40">
        <v>28</v>
      </c>
      <c r="F174" s="73"/>
      <c r="G174" s="37" t="s">
        <v>110</v>
      </c>
      <c r="H174" s="42">
        <v>6050</v>
      </c>
      <c r="I174" s="72">
        <f t="shared" si="39"/>
        <v>4083.7509999999997</v>
      </c>
      <c r="J174" s="74">
        <f t="shared" si="40"/>
        <v>3683.1879035714287</v>
      </c>
      <c r="K174" s="74">
        <f t="shared" si="41"/>
        <v>1966.2490000000003</v>
      </c>
      <c r="L174" s="74">
        <f t="shared" si="42"/>
        <v>2366.8120964285713</v>
      </c>
      <c r="M174" s="74">
        <f t="shared" si="43"/>
        <v>0.60879138902007091</v>
      </c>
      <c r="N174" s="74">
        <f t="shared" si="44"/>
        <v>0.6750001652892561</v>
      </c>
      <c r="O174" s="75">
        <f t="shared" si="45"/>
        <v>0.10875445589951076</v>
      </c>
      <c r="P174" s="71">
        <v>6167</v>
      </c>
      <c r="Q174" s="71">
        <v>6186</v>
      </c>
      <c r="R174" s="71"/>
      <c r="S174" s="71"/>
      <c r="T174" s="71">
        <v>13888</v>
      </c>
      <c r="U174" s="71">
        <v>21041</v>
      </c>
      <c r="V174" s="71">
        <f>9025+9029</f>
        <v>18054</v>
      </c>
      <c r="W174" s="71"/>
      <c r="X174" s="71">
        <v>61.99</v>
      </c>
      <c r="Y174" s="71"/>
      <c r="Z174" s="71"/>
      <c r="AA174" s="71"/>
      <c r="AB174" s="71">
        <v>4515</v>
      </c>
      <c r="AC174" s="76">
        <f>IFERROR(AD174/E174,0)</f>
        <v>3683.1879035714287</v>
      </c>
      <c r="AD174" s="77">
        <f t="shared" si="32"/>
        <v>103129.2613</v>
      </c>
      <c r="AE174" s="50">
        <v>308</v>
      </c>
      <c r="AF174" s="78"/>
      <c r="AG174" s="50">
        <v>132</v>
      </c>
      <c r="AH174" s="79"/>
      <c r="AI174" s="50">
        <v>507</v>
      </c>
      <c r="AJ174" s="50">
        <v>723</v>
      </c>
      <c r="AK174" s="50">
        <f>345+400</f>
        <v>745</v>
      </c>
      <c r="AL174" s="76"/>
      <c r="AM174" s="72"/>
      <c r="AN174" s="52">
        <v>3.1</v>
      </c>
      <c r="AO174" s="50"/>
      <c r="AP174" s="76"/>
      <c r="AQ174" s="52">
        <v>136</v>
      </c>
      <c r="AR174" s="82">
        <f t="shared" si="33"/>
        <v>4083.7509999999997</v>
      </c>
      <c r="AS174" s="83">
        <f>AR174*E174</f>
        <v>114345.02799999999</v>
      </c>
      <c r="AT174" s="74">
        <f t="shared" si="34"/>
        <v>400.56309642857104</v>
      </c>
      <c r="AU174" s="73">
        <f>IFERROR(AT174*E174,0)</f>
        <v>11215.766699999989</v>
      </c>
      <c r="AV174" s="72" t="str">
        <f>D174</f>
        <v>M40</v>
      </c>
      <c r="AW174" s="72">
        <f>P174/E174</f>
        <v>220.25</v>
      </c>
      <c r="AX174" s="72">
        <f>Q174/E174</f>
        <v>220.92857142857142</v>
      </c>
      <c r="AY174" s="72">
        <f>R174/E174</f>
        <v>0</v>
      </c>
      <c r="AZ174" s="72">
        <f>S174/E174</f>
        <v>0</v>
      </c>
      <c r="BA174" s="72">
        <f>T174/E174</f>
        <v>496</v>
      </c>
      <c r="BB174" s="72">
        <f>U174/E174</f>
        <v>751.46428571428567</v>
      </c>
      <c r="BC174" s="72">
        <f>V174/E174</f>
        <v>644.78571428571433</v>
      </c>
      <c r="BD174" s="72"/>
      <c r="BE174" s="72">
        <f>X174/E174</f>
        <v>2.2139285714285717</v>
      </c>
      <c r="BF174" s="72">
        <f>Y174/E174</f>
        <v>0</v>
      </c>
      <c r="BG174" s="72">
        <f>AB174/E174</f>
        <v>161.25</v>
      </c>
      <c r="BH174" s="84">
        <f>Z174/E174</f>
        <v>0</v>
      </c>
      <c r="BI174" s="72"/>
      <c r="BJ174" s="72">
        <f t="shared" si="46"/>
        <v>2496.8924999999999</v>
      </c>
    </row>
    <row r="175" spans="1:62" ht="18.75">
      <c r="A175" s="36">
        <v>45739</v>
      </c>
      <c r="B175" s="65" t="s">
        <v>47</v>
      </c>
      <c r="C175" s="72"/>
      <c r="D175" s="39" t="s">
        <v>48</v>
      </c>
      <c r="E175" s="66">
        <v>5</v>
      </c>
      <c r="F175" s="73"/>
      <c r="G175" s="37" t="s">
        <v>49</v>
      </c>
      <c r="H175" s="42">
        <v>6600</v>
      </c>
      <c r="I175" s="72">
        <f t="shared" si="39"/>
        <v>4390.09</v>
      </c>
      <c r="J175" s="74">
        <f t="shared" si="40"/>
        <v>4319.4144000000006</v>
      </c>
      <c r="K175" s="74">
        <f t="shared" si="41"/>
        <v>2209.91</v>
      </c>
      <c r="L175" s="74">
        <f t="shared" si="42"/>
        <v>2280.5855999999994</v>
      </c>
      <c r="M175" s="74">
        <f t="shared" si="43"/>
        <v>0.65445672727272741</v>
      </c>
      <c r="N175" s="74">
        <f t="shared" si="44"/>
        <v>0.66516515151515154</v>
      </c>
      <c r="O175" s="75">
        <f t="shared" si="45"/>
        <v>1.6362310594695256E-2</v>
      </c>
      <c r="P175" s="71">
        <v>1997</v>
      </c>
      <c r="Q175" s="71">
        <v>508</v>
      </c>
      <c r="R175" s="71"/>
      <c r="S175" s="71"/>
      <c r="T175" s="71">
        <v>2439</v>
      </c>
      <c r="U175" s="71">
        <v>3688</v>
      </c>
      <c r="V175" s="71">
        <f>1620+1496</f>
        <v>3116</v>
      </c>
      <c r="W175" s="71"/>
      <c r="X175" s="71"/>
      <c r="Y175" s="71">
        <v>13.69</v>
      </c>
      <c r="Z175" s="71"/>
      <c r="AA175" s="71"/>
      <c r="AB175" s="71">
        <v>859</v>
      </c>
      <c r="AC175" s="76">
        <f>IFERROR(AD175/E175,0)</f>
        <v>4319.4144000000006</v>
      </c>
      <c r="AD175" s="77">
        <f t="shared" si="32"/>
        <v>21597.072000000004</v>
      </c>
      <c r="AE175" s="48">
        <v>400</v>
      </c>
      <c r="AF175" s="78"/>
      <c r="AG175" s="50">
        <v>100</v>
      </c>
      <c r="AH175" s="79"/>
      <c r="AI175" s="50">
        <v>510</v>
      </c>
      <c r="AJ175" s="50">
        <v>750</v>
      </c>
      <c r="AK175" s="50">
        <f>295+300</f>
        <v>595</v>
      </c>
      <c r="AL175" s="76"/>
      <c r="AM175" s="72"/>
      <c r="AN175" s="52">
        <v>3.5</v>
      </c>
      <c r="AO175" s="50"/>
      <c r="AP175" s="76"/>
      <c r="AQ175" s="52">
        <v>150</v>
      </c>
      <c r="AR175" s="82">
        <f t="shared" si="33"/>
        <v>4390.09</v>
      </c>
      <c r="AS175" s="83">
        <f>AR175*E175</f>
        <v>21950.45</v>
      </c>
      <c r="AT175" s="74">
        <f t="shared" si="34"/>
        <v>70.675599999999577</v>
      </c>
      <c r="AU175" s="73">
        <f>IFERROR(AT175*E175,0)</f>
        <v>353.37799999999788</v>
      </c>
      <c r="AV175" s="72" t="str">
        <f>D175</f>
        <v>M50</v>
      </c>
      <c r="AW175" s="72">
        <f>P175/E175</f>
        <v>399.4</v>
      </c>
      <c r="AX175" s="72">
        <f>Q175/E175</f>
        <v>101.6</v>
      </c>
      <c r="AY175" s="72">
        <f>R175/E175</f>
        <v>0</v>
      </c>
      <c r="AZ175" s="72">
        <f>S175/E175</f>
        <v>0</v>
      </c>
      <c r="BA175" s="72">
        <f>T175/E175</f>
        <v>487.8</v>
      </c>
      <c r="BB175" s="72">
        <f>U175/E175</f>
        <v>737.6</v>
      </c>
      <c r="BC175" s="72">
        <f>V175/E175</f>
        <v>623.20000000000005</v>
      </c>
      <c r="BD175" s="72"/>
      <c r="BE175" s="72">
        <f>X175/E175</f>
        <v>0</v>
      </c>
      <c r="BF175" s="72">
        <f>Y175/E175</f>
        <v>2.738</v>
      </c>
      <c r="BG175" s="72">
        <f>AB175/E175</f>
        <v>171.8</v>
      </c>
      <c r="BH175" s="84">
        <f>Z175/E175</f>
        <v>0</v>
      </c>
      <c r="BI175" s="72"/>
      <c r="BJ175" s="72">
        <f t="shared" si="46"/>
        <v>2524.1380000000004</v>
      </c>
    </row>
    <row r="176" spans="1:62" ht="18.75">
      <c r="A176" s="36">
        <v>45740</v>
      </c>
      <c r="B176" s="37" t="s">
        <v>45</v>
      </c>
      <c r="C176" s="72"/>
      <c r="D176" s="39" t="s">
        <v>34</v>
      </c>
      <c r="E176" s="66">
        <v>6</v>
      </c>
      <c r="F176" s="73"/>
      <c r="G176" s="37" t="s">
        <v>69</v>
      </c>
      <c r="H176" s="42">
        <v>5400</v>
      </c>
      <c r="I176" s="72">
        <f t="shared" si="39"/>
        <v>3440.3942000000006</v>
      </c>
      <c r="J176" s="74">
        <f t="shared" si="40"/>
        <v>2873.8283942857142</v>
      </c>
      <c r="K176" s="74">
        <f t="shared" si="41"/>
        <v>1959.6057999999994</v>
      </c>
      <c r="L176" s="74">
        <f t="shared" si="42"/>
        <v>2526.1716057142858</v>
      </c>
      <c r="M176" s="74">
        <f t="shared" si="43"/>
        <v>0.53219044338624333</v>
      </c>
      <c r="N176" s="74">
        <f t="shared" si="44"/>
        <v>0.63711003703703717</v>
      </c>
      <c r="O176" s="75">
        <f t="shared" si="45"/>
        <v>0.19714670745157903</v>
      </c>
      <c r="P176" s="71">
        <v>605.14285714285711</v>
      </c>
      <c r="Q176" s="71">
        <v>725.14285714285711</v>
      </c>
      <c r="R176" s="71">
        <v>0</v>
      </c>
      <c r="S176" s="71">
        <v>0</v>
      </c>
      <c r="T176" s="71">
        <v>2871.0857142857144</v>
      </c>
      <c r="U176" s="71">
        <v>4206.8571428571431</v>
      </c>
      <c r="V176" s="71">
        <v>5455.8857142857141</v>
      </c>
      <c r="W176" s="71">
        <v>0</v>
      </c>
      <c r="X176" s="71">
        <v>5.3725714285714288</v>
      </c>
      <c r="Y176" s="71">
        <v>0</v>
      </c>
      <c r="Z176" s="71">
        <v>0</v>
      </c>
      <c r="AA176" s="71">
        <v>0</v>
      </c>
      <c r="AB176" s="71">
        <v>1000.1142857142856</v>
      </c>
      <c r="AC176" s="76">
        <f>IFERROR(AD176/E176,0)</f>
        <v>2873.8283942857142</v>
      </c>
      <c r="AD176" s="77">
        <f t="shared" si="32"/>
        <v>17242.970365714285</v>
      </c>
      <c r="AE176" s="48">
        <v>280</v>
      </c>
      <c r="AF176" s="78"/>
      <c r="AG176" s="50">
        <v>0</v>
      </c>
      <c r="AH176" s="79"/>
      <c r="AI176" s="50">
        <v>480</v>
      </c>
      <c r="AJ176" s="50">
        <v>715</v>
      </c>
      <c r="AK176" s="50">
        <f>440+400</f>
        <v>840</v>
      </c>
      <c r="AL176" s="76"/>
      <c r="AM176" s="72"/>
      <c r="AN176" s="52"/>
      <c r="AO176" s="50">
        <v>1.96</v>
      </c>
      <c r="AP176" s="76"/>
      <c r="AQ176" s="52">
        <v>160</v>
      </c>
      <c r="AR176" s="82">
        <f t="shared" si="33"/>
        <v>3440.3942000000006</v>
      </c>
      <c r="AS176" s="83">
        <f>AR176*E176</f>
        <v>20642.365200000004</v>
      </c>
      <c r="AT176" s="74">
        <f t="shared" si="34"/>
        <v>566.5658057142864</v>
      </c>
      <c r="AU176" s="73">
        <f>IFERROR(AT176*E176,0)</f>
        <v>3399.3948342857184</v>
      </c>
      <c r="AV176" s="72" t="str">
        <f>D176</f>
        <v>M15</v>
      </c>
      <c r="AW176" s="72">
        <f>P176/E176</f>
        <v>100.85714285714285</v>
      </c>
      <c r="AX176" s="72">
        <f>Q176/E176</f>
        <v>120.85714285714285</v>
      </c>
      <c r="AY176" s="72">
        <f>R176/E176</f>
        <v>0</v>
      </c>
      <c r="AZ176" s="72">
        <f>S176/E176</f>
        <v>0</v>
      </c>
      <c r="BA176" s="72">
        <f>T176/E176</f>
        <v>478.51428571428573</v>
      </c>
      <c r="BB176" s="72">
        <f>U176/E176</f>
        <v>701.14285714285722</v>
      </c>
      <c r="BC176" s="72">
        <f>V176/E176</f>
        <v>909.31428571428569</v>
      </c>
      <c r="BD176" s="72"/>
      <c r="BE176" s="72">
        <f>X176/E176</f>
        <v>0.89542857142857146</v>
      </c>
      <c r="BF176" s="72">
        <f>Y176/E176</f>
        <v>0</v>
      </c>
      <c r="BG176" s="72">
        <f>AB176/E176</f>
        <v>166.68571428571428</v>
      </c>
      <c r="BH176" s="84">
        <f>Z176/E176</f>
        <v>0</v>
      </c>
      <c r="BI176" s="72"/>
      <c r="BJ176" s="72">
        <f t="shared" si="46"/>
        <v>2478.2668571428571</v>
      </c>
    </row>
    <row r="177" spans="1:62" ht="18.75">
      <c r="A177" s="36">
        <v>45740</v>
      </c>
      <c r="B177" s="37" t="s">
        <v>100</v>
      </c>
      <c r="C177" s="72"/>
      <c r="D177" s="39" t="s">
        <v>34</v>
      </c>
      <c r="E177" s="66">
        <v>11.5</v>
      </c>
      <c r="F177" s="73"/>
      <c r="G177" s="37" t="s">
        <v>82</v>
      </c>
      <c r="H177" s="42">
        <v>5150</v>
      </c>
      <c r="I177" s="72">
        <f t="shared" si="39"/>
        <v>3256.6862000000001</v>
      </c>
      <c r="J177" s="74">
        <f t="shared" si="40"/>
        <v>2873.8283942857147</v>
      </c>
      <c r="K177" s="74">
        <f t="shared" si="41"/>
        <v>1893.3137999999999</v>
      </c>
      <c r="L177" s="74">
        <f t="shared" si="42"/>
        <v>2276.1716057142853</v>
      </c>
      <c r="M177" s="74">
        <f t="shared" si="43"/>
        <v>0.55802493092926497</v>
      </c>
      <c r="N177" s="74">
        <f t="shared" si="44"/>
        <v>0.63236625242718447</v>
      </c>
      <c r="O177" s="75">
        <f t="shared" si="45"/>
        <v>0.13322222248049159</v>
      </c>
      <c r="P177" s="71">
        <v>1159.8571428571429</v>
      </c>
      <c r="Q177" s="71">
        <v>1389.8571428571429</v>
      </c>
      <c r="R177" s="71">
        <v>0</v>
      </c>
      <c r="S177" s="71">
        <v>0</v>
      </c>
      <c r="T177" s="71">
        <v>5502.9142857142861</v>
      </c>
      <c r="U177" s="71">
        <v>8063.1428571428569</v>
      </c>
      <c r="V177" s="71">
        <v>10457.114285714286</v>
      </c>
      <c r="W177" s="71">
        <v>0</v>
      </c>
      <c r="X177" s="71">
        <v>10.297428571428572</v>
      </c>
      <c r="Y177" s="71">
        <v>0</v>
      </c>
      <c r="Z177" s="71">
        <v>0</v>
      </c>
      <c r="AA177" s="71">
        <v>0</v>
      </c>
      <c r="AB177" s="71">
        <v>1916.8857142857144</v>
      </c>
      <c r="AC177" s="76">
        <f>IFERROR(AD177/E177,0)</f>
        <v>2873.8283942857147</v>
      </c>
      <c r="AD177" s="77">
        <f t="shared" si="32"/>
        <v>33049.026534285716</v>
      </c>
      <c r="AE177" s="48">
        <v>196</v>
      </c>
      <c r="AF177" s="78"/>
      <c r="AG177" s="50">
        <v>84</v>
      </c>
      <c r="AH177" s="79"/>
      <c r="AI177" s="50">
        <v>480</v>
      </c>
      <c r="AJ177" s="50">
        <v>715</v>
      </c>
      <c r="AK177" s="50">
        <f>440+400</f>
        <v>840</v>
      </c>
      <c r="AL177" s="76"/>
      <c r="AM177" s="72"/>
      <c r="AN177" s="52"/>
      <c r="AO177" s="50">
        <v>1.96</v>
      </c>
      <c r="AP177" s="76"/>
      <c r="AQ177" s="52">
        <v>160</v>
      </c>
      <c r="AR177" s="82">
        <f t="shared" si="33"/>
        <v>3256.6862000000001</v>
      </c>
      <c r="AS177" s="83">
        <f>AR177*E177</f>
        <v>37451.891300000003</v>
      </c>
      <c r="AT177" s="74">
        <f t="shared" si="34"/>
        <v>382.8578057142854</v>
      </c>
      <c r="AU177" s="73">
        <f>IFERROR(AT177*E177,0)</f>
        <v>4402.8647657142819</v>
      </c>
      <c r="AV177" s="72" t="str">
        <f>D177</f>
        <v>M15</v>
      </c>
      <c r="AW177" s="72">
        <f>P177/E177</f>
        <v>100.85714285714286</v>
      </c>
      <c r="AX177" s="72">
        <f>Q177/E177</f>
        <v>120.85714285714286</v>
      </c>
      <c r="AY177" s="72">
        <f>R177/E177</f>
        <v>0</v>
      </c>
      <c r="AZ177" s="72">
        <f>S177/E177</f>
        <v>0</v>
      </c>
      <c r="BA177" s="72">
        <f>T177/E177</f>
        <v>478.51428571428573</v>
      </c>
      <c r="BB177" s="72">
        <f>U177/E177</f>
        <v>701.14285714285711</v>
      </c>
      <c r="BC177" s="72">
        <f>V177/E177</f>
        <v>909.31428571428569</v>
      </c>
      <c r="BD177" s="72"/>
      <c r="BE177" s="72">
        <f>X177/E177</f>
        <v>0.89542857142857146</v>
      </c>
      <c r="BF177" s="72">
        <f>Y177/E177</f>
        <v>0</v>
      </c>
      <c r="BG177" s="72">
        <f>AB177/E177</f>
        <v>166.68571428571428</v>
      </c>
      <c r="BH177" s="84">
        <f>Z177/E177</f>
        <v>0</v>
      </c>
      <c r="BI177" s="72"/>
      <c r="BJ177" s="72">
        <f t="shared" si="46"/>
        <v>2478.2668571428571</v>
      </c>
    </row>
    <row r="178" spans="1:62" ht="18.75">
      <c r="A178" s="36">
        <v>45740</v>
      </c>
      <c r="B178" s="37" t="s">
        <v>61</v>
      </c>
      <c r="C178" s="72"/>
      <c r="D178" s="39" t="s">
        <v>40</v>
      </c>
      <c r="E178" s="66">
        <v>6</v>
      </c>
      <c r="F178" s="73"/>
      <c r="G178" s="37" t="s">
        <v>41</v>
      </c>
      <c r="H178" s="42">
        <v>5800</v>
      </c>
      <c r="I178" s="72">
        <f t="shared" si="39"/>
        <v>3452.0828000000001</v>
      </c>
      <c r="J178" s="74">
        <f t="shared" si="40"/>
        <v>3325.1969999999997</v>
      </c>
      <c r="K178" s="74">
        <f t="shared" si="41"/>
        <v>2347.9171999999999</v>
      </c>
      <c r="L178" s="74">
        <f t="shared" si="42"/>
        <v>2474.8030000000003</v>
      </c>
      <c r="M178" s="74">
        <f t="shared" si="43"/>
        <v>0.57330982758620685</v>
      </c>
      <c r="N178" s="74">
        <f t="shared" si="44"/>
        <v>0.59518668965517241</v>
      </c>
      <c r="O178" s="75">
        <f t="shared" si="45"/>
        <v>3.8158882015110751E-2</v>
      </c>
      <c r="P178" s="71">
        <v>1197</v>
      </c>
      <c r="Q178" s="71">
        <v>731</v>
      </c>
      <c r="R178" s="71">
        <v>0</v>
      </c>
      <c r="S178" s="71">
        <v>0</v>
      </c>
      <c r="T178" s="71">
        <v>3048</v>
      </c>
      <c r="U178" s="71">
        <v>4517</v>
      </c>
      <c r="V178" s="71">
        <f>2202+2230</f>
        <v>4432</v>
      </c>
      <c r="W178" s="71">
        <v>0</v>
      </c>
      <c r="X178" s="71">
        <v>7.2</v>
      </c>
      <c r="Y178" s="71">
        <v>0</v>
      </c>
      <c r="Z178" s="71">
        <v>0</v>
      </c>
      <c r="AA178" s="71">
        <v>0</v>
      </c>
      <c r="AB178" s="71">
        <v>983</v>
      </c>
      <c r="AC178" s="76">
        <f>IFERROR(AD178/E178,0)</f>
        <v>3325.1969999999997</v>
      </c>
      <c r="AD178" s="77">
        <f t="shared" si="32"/>
        <v>19951.181999999997</v>
      </c>
      <c r="AE178" s="48">
        <v>224</v>
      </c>
      <c r="AF178" s="78"/>
      <c r="AG178" s="50">
        <v>96</v>
      </c>
      <c r="AH178" s="79"/>
      <c r="AI178" s="50">
        <v>495</v>
      </c>
      <c r="AJ178" s="50">
        <v>740</v>
      </c>
      <c r="AK178" s="50">
        <v>800</v>
      </c>
      <c r="AL178" s="76"/>
      <c r="AM178" s="72"/>
      <c r="AN178" s="52"/>
      <c r="AO178" s="50">
        <v>2.2400000000000002</v>
      </c>
      <c r="AP178" s="76"/>
      <c r="AQ178" s="52">
        <v>155</v>
      </c>
      <c r="AR178" s="82">
        <f t="shared" si="33"/>
        <v>3452.0828000000001</v>
      </c>
      <c r="AS178" s="83">
        <f>AR178*E178</f>
        <v>20712.496800000001</v>
      </c>
      <c r="AT178" s="74">
        <f t="shared" si="34"/>
        <v>126.88580000000047</v>
      </c>
      <c r="AU178" s="73">
        <f>IFERROR(AT178*E178,0)</f>
        <v>761.31480000000283</v>
      </c>
      <c r="AV178" s="72" t="str">
        <f>D178</f>
        <v>M25</v>
      </c>
      <c r="AW178" s="72">
        <f>P178/E178</f>
        <v>199.5</v>
      </c>
      <c r="AX178" s="72">
        <f>Q178/E178</f>
        <v>121.83333333333333</v>
      </c>
      <c r="AY178" s="72">
        <f>R178/E178</f>
        <v>0</v>
      </c>
      <c r="AZ178" s="72">
        <f>S178/E178</f>
        <v>0</v>
      </c>
      <c r="BA178" s="72">
        <f>T178/E178</f>
        <v>508</v>
      </c>
      <c r="BB178" s="72">
        <f>U178/E178</f>
        <v>752.83333333333337</v>
      </c>
      <c r="BC178" s="72">
        <f>V178/E178</f>
        <v>738.66666666666663</v>
      </c>
      <c r="BD178" s="72"/>
      <c r="BE178" s="72">
        <f>X178/E178</f>
        <v>1.2</v>
      </c>
      <c r="BF178" s="72">
        <f>Y178/E178</f>
        <v>0</v>
      </c>
      <c r="BG178" s="72">
        <f>AB178/E178</f>
        <v>163.83333333333334</v>
      </c>
      <c r="BH178" s="84">
        <f>Z178/E178</f>
        <v>0</v>
      </c>
      <c r="BI178" s="72"/>
      <c r="BJ178" s="72">
        <f t="shared" si="46"/>
        <v>2485.8666666666663</v>
      </c>
    </row>
    <row r="179" spans="1:62" ht="18.75">
      <c r="A179" s="36">
        <v>45740</v>
      </c>
      <c r="B179" s="37" t="s">
        <v>61</v>
      </c>
      <c r="C179" s="72"/>
      <c r="D179" s="39" t="s">
        <v>40</v>
      </c>
      <c r="E179" s="66">
        <v>9.5</v>
      </c>
      <c r="F179" s="73"/>
      <c r="G179" s="37" t="s">
        <v>41</v>
      </c>
      <c r="H179" s="42">
        <v>5800</v>
      </c>
      <c r="I179" s="72">
        <f t="shared" si="39"/>
        <v>3452.0828000000001</v>
      </c>
      <c r="J179" s="74">
        <f t="shared" si="40"/>
        <v>3167.9327941176475</v>
      </c>
      <c r="K179" s="74">
        <f t="shared" si="41"/>
        <v>2347.9171999999999</v>
      </c>
      <c r="L179" s="74">
        <f t="shared" si="42"/>
        <v>2632.0672058823525</v>
      </c>
      <c r="M179" s="74">
        <f t="shared" si="43"/>
        <v>0.54619530933062888</v>
      </c>
      <c r="N179" s="74">
        <f t="shared" si="44"/>
        <v>0.59518668965517241</v>
      </c>
      <c r="O179" s="75">
        <f t="shared" si="45"/>
        <v>8.9695717791101609E-2</v>
      </c>
      <c r="P179" s="71">
        <v>1317.1470588235295</v>
      </c>
      <c r="Q179" s="71">
        <v>1623.3823529411764</v>
      </c>
      <c r="R179" s="71">
        <v>0</v>
      </c>
      <c r="S179" s="71">
        <v>0</v>
      </c>
      <c r="T179" s="71">
        <v>4728.2058823529414</v>
      </c>
      <c r="U179" s="71">
        <v>7114.3823529411766</v>
      </c>
      <c r="V179" s="71">
        <v>7355.2352941176468</v>
      </c>
      <c r="W179" s="71">
        <v>0</v>
      </c>
      <c r="X179" s="71">
        <v>9.6955882352941192</v>
      </c>
      <c r="Y179" s="71">
        <v>0</v>
      </c>
      <c r="Z179" s="71">
        <v>0</v>
      </c>
      <c r="AA179" s="71">
        <v>0</v>
      </c>
      <c r="AB179" s="71">
        <v>1570.2941176470588</v>
      </c>
      <c r="AC179" s="76">
        <f>IFERROR(AD179/E179,0)</f>
        <v>3167.9327941176475</v>
      </c>
      <c r="AD179" s="77">
        <f t="shared" si="32"/>
        <v>30095.361544117652</v>
      </c>
      <c r="AE179" s="48">
        <v>224</v>
      </c>
      <c r="AF179" s="78"/>
      <c r="AG179" s="50">
        <v>96</v>
      </c>
      <c r="AH179" s="79"/>
      <c r="AI179" s="50">
        <v>495</v>
      </c>
      <c r="AJ179" s="50">
        <v>740</v>
      </c>
      <c r="AK179" s="50">
        <v>800</v>
      </c>
      <c r="AL179" s="76"/>
      <c r="AM179" s="72"/>
      <c r="AN179" s="52"/>
      <c r="AO179" s="50">
        <v>2.2400000000000002</v>
      </c>
      <c r="AP179" s="76"/>
      <c r="AQ179" s="52">
        <v>155</v>
      </c>
      <c r="AR179" s="82">
        <f t="shared" si="33"/>
        <v>3452.0828000000001</v>
      </c>
      <c r="AS179" s="83">
        <f>AR179*E179</f>
        <v>32794.786599999999</v>
      </c>
      <c r="AT179" s="74">
        <f t="shared" si="34"/>
        <v>284.15000588235262</v>
      </c>
      <c r="AU179" s="73">
        <f>IFERROR(AT179*E179,0)</f>
        <v>2699.4250558823496</v>
      </c>
      <c r="AV179" s="72" t="str">
        <f>D179</f>
        <v>M25</v>
      </c>
      <c r="AW179" s="72">
        <f>P179/E179</f>
        <v>138.64705882352942</v>
      </c>
      <c r="AX179" s="72">
        <f>Q179/E179</f>
        <v>170.88235294117646</v>
      </c>
      <c r="AY179" s="72">
        <f>R179/E179</f>
        <v>0</v>
      </c>
      <c r="AZ179" s="72">
        <f>S179/E179</f>
        <v>0</v>
      </c>
      <c r="BA179" s="72">
        <f>T179/E179</f>
        <v>497.70588235294122</v>
      </c>
      <c r="BB179" s="72">
        <f>U179/E179</f>
        <v>748.88235294117646</v>
      </c>
      <c r="BC179" s="72">
        <f>V179/E179</f>
        <v>774.23529411764707</v>
      </c>
      <c r="BD179" s="72"/>
      <c r="BE179" s="72">
        <f>X179/E179</f>
        <v>1.0205882352941178</v>
      </c>
      <c r="BF179" s="72">
        <f>Y179/E179</f>
        <v>0</v>
      </c>
      <c r="BG179" s="72">
        <f>AB179/E179</f>
        <v>165.29411764705881</v>
      </c>
      <c r="BH179" s="84">
        <f>Z179/E179</f>
        <v>0</v>
      </c>
      <c r="BI179" s="72"/>
      <c r="BJ179" s="72">
        <f t="shared" si="46"/>
        <v>2496.6676470588236</v>
      </c>
    </row>
    <row r="180" spans="1:62" ht="18.75">
      <c r="A180" s="36">
        <v>45740</v>
      </c>
      <c r="B180" s="37" t="s">
        <v>30</v>
      </c>
      <c r="C180" s="72"/>
      <c r="D180" s="39" t="s">
        <v>40</v>
      </c>
      <c r="E180" s="66">
        <v>7.5</v>
      </c>
      <c r="F180" s="73"/>
      <c r="G180" s="37" t="s">
        <v>41</v>
      </c>
      <c r="H180" s="42">
        <v>5800</v>
      </c>
      <c r="I180" s="72">
        <f t="shared" si="39"/>
        <v>3452.0828000000001</v>
      </c>
      <c r="J180" s="74">
        <f t="shared" si="40"/>
        <v>3167.9327941176471</v>
      </c>
      <c r="K180" s="74">
        <f t="shared" si="41"/>
        <v>2347.9171999999999</v>
      </c>
      <c r="L180" s="74">
        <f t="shared" si="42"/>
        <v>2632.0672058823529</v>
      </c>
      <c r="M180" s="74">
        <f t="shared" si="43"/>
        <v>0.54619530933062876</v>
      </c>
      <c r="N180" s="74">
        <f t="shared" si="44"/>
        <v>0.59518668965517241</v>
      </c>
      <c r="O180" s="75">
        <f t="shared" si="45"/>
        <v>8.9695717791101831E-2</v>
      </c>
      <c r="P180" s="71">
        <v>1039.8529411764707</v>
      </c>
      <c r="Q180" s="71">
        <v>1281.6176470588234</v>
      </c>
      <c r="R180" s="71">
        <v>0</v>
      </c>
      <c r="S180" s="71">
        <v>0</v>
      </c>
      <c r="T180" s="71">
        <v>3732.7941176470586</v>
      </c>
      <c r="U180" s="71">
        <v>5616.6176470588234</v>
      </c>
      <c r="V180" s="71">
        <v>5806.7647058823532</v>
      </c>
      <c r="W180" s="71">
        <v>0</v>
      </c>
      <c r="X180" s="71">
        <v>7.6544117647058831</v>
      </c>
      <c r="Y180" s="71">
        <v>0</v>
      </c>
      <c r="Z180" s="71">
        <v>0</v>
      </c>
      <c r="AA180" s="71">
        <v>0</v>
      </c>
      <c r="AB180" s="71">
        <v>1239.705882352941</v>
      </c>
      <c r="AC180" s="76">
        <f>IFERROR(AD180/E180,0)</f>
        <v>3167.9327941176471</v>
      </c>
      <c r="AD180" s="77">
        <f t="shared" si="32"/>
        <v>23759.495955882354</v>
      </c>
      <c r="AE180" s="48">
        <v>224</v>
      </c>
      <c r="AF180" s="78"/>
      <c r="AG180" s="50">
        <v>96</v>
      </c>
      <c r="AH180" s="79"/>
      <c r="AI180" s="50">
        <v>495</v>
      </c>
      <c r="AJ180" s="50">
        <v>740</v>
      </c>
      <c r="AK180" s="50">
        <v>800</v>
      </c>
      <c r="AL180" s="76"/>
      <c r="AM180" s="72"/>
      <c r="AN180" s="52"/>
      <c r="AO180" s="50">
        <v>2.2400000000000002</v>
      </c>
      <c r="AP180" s="76"/>
      <c r="AQ180" s="52">
        <v>155</v>
      </c>
      <c r="AR180" s="82">
        <f t="shared" si="33"/>
        <v>3452.0828000000001</v>
      </c>
      <c r="AS180" s="83">
        <f>AR180*E180</f>
        <v>25890.620999999999</v>
      </c>
      <c r="AT180" s="74">
        <f t="shared" si="34"/>
        <v>284.15000588235307</v>
      </c>
      <c r="AU180" s="73">
        <f>IFERROR(AT180*E180,0)</f>
        <v>2131.125044117648</v>
      </c>
      <c r="AV180" s="72" t="str">
        <f>D180</f>
        <v>M25</v>
      </c>
      <c r="AW180" s="72">
        <f>P180/E180</f>
        <v>138.64705882352942</v>
      </c>
      <c r="AX180" s="72">
        <f>Q180/E180</f>
        <v>170.88235294117646</v>
      </c>
      <c r="AY180" s="72">
        <f>R180/E180</f>
        <v>0</v>
      </c>
      <c r="AZ180" s="72">
        <f>S180/E180</f>
        <v>0</v>
      </c>
      <c r="BA180" s="72">
        <f>T180/E180</f>
        <v>497.70588235294116</v>
      </c>
      <c r="BB180" s="72">
        <f>U180/E180</f>
        <v>748.88235294117646</v>
      </c>
      <c r="BC180" s="72">
        <f>V180/E180</f>
        <v>774.23529411764707</v>
      </c>
      <c r="BD180" s="72"/>
      <c r="BE180" s="72">
        <f>X180/E180</f>
        <v>1.0205882352941178</v>
      </c>
      <c r="BF180" s="72">
        <f>Y180/E180</f>
        <v>0</v>
      </c>
      <c r="BG180" s="72">
        <f>AB180/E180</f>
        <v>165.29411764705881</v>
      </c>
      <c r="BH180" s="84">
        <f>Z180/E180</f>
        <v>0</v>
      </c>
      <c r="BI180" s="72"/>
      <c r="BJ180" s="72">
        <f t="shared" si="46"/>
        <v>2496.6676470588236</v>
      </c>
    </row>
    <row r="181" spans="1:62" ht="18.75">
      <c r="A181" s="36">
        <v>45740</v>
      </c>
      <c r="B181" s="37" t="s">
        <v>33</v>
      </c>
      <c r="C181" s="72"/>
      <c r="D181" s="39" t="s">
        <v>43</v>
      </c>
      <c r="E181" s="66">
        <v>41</v>
      </c>
      <c r="F181" s="73"/>
      <c r="G181" s="37" t="s">
        <v>91</v>
      </c>
      <c r="H181" s="42">
        <v>6100</v>
      </c>
      <c r="I181" s="72">
        <f t="shared" si="39"/>
        <v>4185.3300000000008</v>
      </c>
      <c r="J181" s="74">
        <f t="shared" si="40"/>
        <v>3864.4418195121953</v>
      </c>
      <c r="K181" s="74">
        <f t="shared" si="41"/>
        <v>1914.6699999999992</v>
      </c>
      <c r="L181" s="74">
        <f t="shared" si="42"/>
        <v>2235.5581804878047</v>
      </c>
      <c r="M181" s="74">
        <f t="shared" si="43"/>
        <v>0.63351505237904837</v>
      </c>
      <c r="N181" s="74">
        <f t="shared" si="44"/>
        <v>0.68611967213114766</v>
      </c>
      <c r="O181" s="75">
        <f t="shared" si="45"/>
        <v>8.3036100807001176E-2</v>
      </c>
      <c r="P181" s="71">
        <v>13531</v>
      </c>
      <c r="Q181" s="71">
        <v>3727</v>
      </c>
      <c r="R181" s="71">
        <v>0</v>
      </c>
      <c r="S181" s="71">
        <v>0</v>
      </c>
      <c r="T181" s="71">
        <v>20567</v>
      </c>
      <c r="U181" s="71">
        <v>30866</v>
      </c>
      <c r="V181" s="71">
        <f>13338+13168</f>
        <v>26506</v>
      </c>
      <c r="W181" s="71">
        <v>0</v>
      </c>
      <c r="X181" s="71">
        <v>85.08</v>
      </c>
      <c r="Y181" s="71">
        <v>0</v>
      </c>
      <c r="Z181" s="71">
        <v>0</v>
      </c>
      <c r="AA181" s="71">
        <v>0</v>
      </c>
      <c r="AB181" s="71">
        <v>7150</v>
      </c>
      <c r="AC181" s="76">
        <f>IFERROR(AD181/E181,0)</f>
        <v>3864.4418195121953</v>
      </c>
      <c r="AD181" s="77">
        <f t="shared" si="32"/>
        <v>158442.1146</v>
      </c>
      <c r="AE181" s="48">
        <v>420</v>
      </c>
      <c r="AF181" s="78"/>
      <c r="AG181" s="50">
        <v>0</v>
      </c>
      <c r="AH181" s="79"/>
      <c r="AI181" s="50">
        <v>505</v>
      </c>
      <c r="AJ181" s="50">
        <v>760</v>
      </c>
      <c r="AK181" s="50">
        <f>365+300</f>
        <v>665</v>
      </c>
      <c r="AL181" s="76"/>
      <c r="AM181" s="72"/>
      <c r="AN181" s="52">
        <v>2.52</v>
      </c>
      <c r="AO181" s="50"/>
      <c r="AP181" s="76"/>
      <c r="AQ181" s="52">
        <v>170</v>
      </c>
      <c r="AR181" s="82">
        <f t="shared" si="33"/>
        <v>4185.3300000000008</v>
      </c>
      <c r="AS181" s="83">
        <f>AR181*E181</f>
        <v>171598.53000000003</v>
      </c>
      <c r="AT181" s="74">
        <f t="shared" si="34"/>
        <v>320.88818048780558</v>
      </c>
      <c r="AU181" s="73">
        <f>IFERROR(AT181*E181,0)</f>
        <v>13156.415400000029</v>
      </c>
      <c r="AV181" s="72" t="str">
        <f>D181</f>
        <v>M30</v>
      </c>
      <c r="AW181" s="72">
        <f>P181/E181</f>
        <v>330.02439024390242</v>
      </c>
      <c r="AX181" s="72">
        <f>Q181/E181</f>
        <v>90.902439024390247</v>
      </c>
      <c r="AY181" s="72">
        <f>R181/E181</f>
        <v>0</v>
      </c>
      <c r="AZ181" s="72">
        <f>S181/E181</f>
        <v>0</v>
      </c>
      <c r="BA181" s="72">
        <f>T181/E181</f>
        <v>501.63414634146341</v>
      </c>
      <c r="BB181" s="72">
        <f>U181/E181</f>
        <v>752.82926829268297</v>
      </c>
      <c r="BC181" s="72">
        <f>V181/E181</f>
        <v>646.48780487804879</v>
      </c>
      <c r="BD181" s="72"/>
      <c r="BE181" s="72">
        <f>X181/E181</f>
        <v>2.0751219512195123</v>
      </c>
      <c r="BF181" s="72">
        <f>Y181/E181</f>
        <v>0</v>
      </c>
      <c r="BG181" s="72">
        <f>AB181/E181</f>
        <v>174.39024390243901</v>
      </c>
      <c r="BH181" s="84">
        <f>Z181/E181</f>
        <v>0</v>
      </c>
      <c r="BI181" s="72"/>
      <c r="BJ181" s="72">
        <f t="shared" si="46"/>
        <v>2498.3434146341465</v>
      </c>
    </row>
    <row r="182" spans="1:62" ht="18.75">
      <c r="A182" s="36">
        <v>45740</v>
      </c>
      <c r="B182" s="37" t="s">
        <v>33</v>
      </c>
      <c r="C182" s="72"/>
      <c r="D182" s="39" t="s">
        <v>43</v>
      </c>
      <c r="E182" s="66">
        <v>18</v>
      </c>
      <c r="F182" s="73"/>
      <c r="G182" s="37" t="s">
        <v>91</v>
      </c>
      <c r="H182" s="42">
        <v>6100</v>
      </c>
      <c r="I182" s="72">
        <f t="shared" si="39"/>
        <v>4185.3300000000008</v>
      </c>
      <c r="J182" s="74">
        <f t="shared" si="40"/>
        <v>3546.845344444444</v>
      </c>
      <c r="K182" s="74">
        <f t="shared" si="41"/>
        <v>1914.6699999999992</v>
      </c>
      <c r="L182" s="74">
        <f t="shared" si="42"/>
        <v>2553.154655555556</v>
      </c>
      <c r="M182" s="74">
        <f t="shared" si="43"/>
        <v>0.58145005646630232</v>
      </c>
      <c r="N182" s="74">
        <f t="shared" si="44"/>
        <v>0.68611967213114766</v>
      </c>
      <c r="O182" s="75">
        <f t="shared" si="45"/>
        <v>0.1800148000689229</v>
      </c>
      <c r="P182" s="71">
        <v>4498</v>
      </c>
      <c r="Q182" s="71">
        <v>1993</v>
      </c>
      <c r="R182" s="71"/>
      <c r="S182" s="71"/>
      <c r="T182" s="71">
        <v>8956</v>
      </c>
      <c r="U182" s="71">
        <v>13444</v>
      </c>
      <c r="V182" s="71">
        <f>6573+6304</f>
        <v>12877</v>
      </c>
      <c r="W182" s="71"/>
      <c r="X182" s="71">
        <v>32.36</v>
      </c>
      <c r="Y182" s="71"/>
      <c r="Z182" s="71"/>
      <c r="AA182" s="71"/>
      <c r="AB182" s="71">
        <v>3201</v>
      </c>
      <c r="AC182" s="76">
        <f>IFERROR(AD182/E182,0)</f>
        <v>3546.845344444444</v>
      </c>
      <c r="AD182" s="77">
        <f t="shared" si="32"/>
        <v>63843.216199999995</v>
      </c>
      <c r="AE182" s="48">
        <v>420</v>
      </c>
      <c r="AF182" s="78"/>
      <c r="AG182" s="50">
        <v>0</v>
      </c>
      <c r="AH182" s="79"/>
      <c r="AI182" s="50">
        <v>505</v>
      </c>
      <c r="AJ182" s="50">
        <v>760</v>
      </c>
      <c r="AK182" s="50">
        <f>365+300</f>
        <v>665</v>
      </c>
      <c r="AL182" s="76"/>
      <c r="AM182" s="72"/>
      <c r="AN182" s="52">
        <v>2.52</v>
      </c>
      <c r="AO182" s="50"/>
      <c r="AP182" s="76"/>
      <c r="AQ182" s="52">
        <v>170</v>
      </c>
      <c r="AR182" s="82">
        <f t="shared" si="33"/>
        <v>4185.3300000000008</v>
      </c>
      <c r="AS182" s="83">
        <f>AR182*E182</f>
        <v>75335.940000000017</v>
      </c>
      <c r="AT182" s="74">
        <f t="shared" si="34"/>
        <v>638.48465555555686</v>
      </c>
      <c r="AU182" s="73">
        <f>IFERROR(AT182*E182,0)</f>
        <v>11492.723800000023</v>
      </c>
      <c r="AV182" s="72" t="str">
        <f>D182</f>
        <v>M30</v>
      </c>
      <c r="AW182" s="72">
        <f>P182/E182</f>
        <v>249.88888888888889</v>
      </c>
      <c r="AX182" s="72">
        <f>Q182/E182</f>
        <v>110.72222222222223</v>
      </c>
      <c r="AY182" s="72">
        <f>R182/E182</f>
        <v>0</v>
      </c>
      <c r="AZ182" s="72">
        <f>S182/E182</f>
        <v>0</v>
      </c>
      <c r="BA182" s="72">
        <f>T182/E182</f>
        <v>497.55555555555554</v>
      </c>
      <c r="BB182" s="72">
        <f>U182/E182</f>
        <v>746.88888888888891</v>
      </c>
      <c r="BC182" s="72">
        <f>V182/E182</f>
        <v>715.38888888888891</v>
      </c>
      <c r="BD182" s="72"/>
      <c r="BE182" s="72">
        <f>X182/E182</f>
        <v>1.7977777777777777</v>
      </c>
      <c r="BF182" s="72">
        <f>Y182/E182</f>
        <v>0</v>
      </c>
      <c r="BG182" s="72">
        <f>AB182/E182</f>
        <v>177.83333333333334</v>
      </c>
      <c r="BH182" s="84">
        <f>Z182/E182</f>
        <v>0</v>
      </c>
      <c r="BI182" s="72"/>
      <c r="BJ182" s="72">
        <f t="shared" si="46"/>
        <v>2500.0755555555556</v>
      </c>
    </row>
    <row r="183" spans="1:62" ht="18.75">
      <c r="A183" s="36">
        <v>45740</v>
      </c>
      <c r="B183" s="37" t="s">
        <v>45</v>
      </c>
      <c r="C183" s="72"/>
      <c r="D183" s="39" t="s">
        <v>43</v>
      </c>
      <c r="E183" s="66">
        <v>6.5</v>
      </c>
      <c r="F183" s="73"/>
      <c r="G183" s="37" t="s">
        <v>46</v>
      </c>
      <c r="H183" s="42">
        <v>6000</v>
      </c>
      <c r="I183" s="72">
        <f t="shared" si="39"/>
        <v>4033.4050000000002</v>
      </c>
      <c r="J183" s="74">
        <f t="shared" si="40"/>
        <v>3701.4215538461544</v>
      </c>
      <c r="K183" s="74">
        <f t="shared" si="41"/>
        <v>1966.5949999999998</v>
      </c>
      <c r="L183" s="74">
        <f t="shared" si="42"/>
        <v>2298.5784461538456</v>
      </c>
      <c r="M183" s="74">
        <f t="shared" si="43"/>
        <v>0.61690359230769243</v>
      </c>
      <c r="N183" s="74">
        <f t="shared" si="44"/>
        <v>0.67223416666666669</v>
      </c>
      <c r="O183" s="75">
        <f t="shared" si="45"/>
        <v>8.9690796177722826E-2</v>
      </c>
      <c r="P183" s="71">
        <v>1953</v>
      </c>
      <c r="Q183" s="71">
        <v>527</v>
      </c>
      <c r="R183" s="71"/>
      <c r="S183" s="71"/>
      <c r="T183" s="71">
        <v>3247</v>
      </c>
      <c r="U183" s="71">
        <v>4866</v>
      </c>
      <c r="V183" s="71">
        <f>2246+2266</f>
        <v>4512</v>
      </c>
      <c r="W183" s="71"/>
      <c r="X183" s="71">
        <v>11.23</v>
      </c>
      <c r="Y183" s="71"/>
      <c r="Z183" s="71"/>
      <c r="AA183" s="71"/>
      <c r="AB183" s="71">
        <v>1096</v>
      </c>
      <c r="AC183" s="76">
        <f>IFERROR(AD183/E183,0)</f>
        <v>3701.4215538461544</v>
      </c>
      <c r="AD183" s="77">
        <f t="shared" si="32"/>
        <v>24059.240100000003</v>
      </c>
      <c r="AE183" s="48">
        <v>380</v>
      </c>
      <c r="AF183" s="78"/>
      <c r="AG183" s="50">
        <v>0</v>
      </c>
      <c r="AH183" s="79"/>
      <c r="AI183" s="50">
        <v>495</v>
      </c>
      <c r="AJ183" s="50">
        <v>745</v>
      </c>
      <c r="AK183" s="50">
        <f>380+380</f>
        <v>760</v>
      </c>
      <c r="AL183" s="76"/>
      <c r="AM183" s="72"/>
      <c r="AN183" s="52">
        <v>2.4700000000000002</v>
      </c>
      <c r="AO183" s="50"/>
      <c r="AP183" s="76"/>
      <c r="AQ183" s="52">
        <v>144</v>
      </c>
      <c r="AR183" s="82">
        <f t="shared" si="33"/>
        <v>4033.4050000000002</v>
      </c>
      <c r="AS183" s="83">
        <f>AR183*E183</f>
        <v>26217.1325</v>
      </c>
      <c r="AT183" s="74">
        <f t="shared" si="34"/>
        <v>331.98344615384576</v>
      </c>
      <c r="AU183" s="73">
        <f>IFERROR(AT183*E183,0)</f>
        <v>2157.8923999999975</v>
      </c>
      <c r="AV183" s="72" t="str">
        <f>D183</f>
        <v>M30</v>
      </c>
      <c r="AW183" s="72">
        <f>P183/E183</f>
        <v>300.46153846153845</v>
      </c>
      <c r="AX183" s="72">
        <f>Q183/E183</f>
        <v>81.07692307692308</v>
      </c>
      <c r="AY183" s="72">
        <f>R183/E183</f>
        <v>0</v>
      </c>
      <c r="AZ183" s="72">
        <f>S183/E183</f>
        <v>0</v>
      </c>
      <c r="BA183" s="72">
        <f>T183/E183</f>
        <v>499.53846153846155</v>
      </c>
      <c r="BB183" s="72">
        <f>U183/E183</f>
        <v>748.61538461538464</v>
      </c>
      <c r="BC183" s="72">
        <f>V183/E183</f>
        <v>694.15384615384619</v>
      </c>
      <c r="BD183" s="72"/>
      <c r="BE183" s="72">
        <f>X183/E183</f>
        <v>1.7276923076923079</v>
      </c>
      <c r="BF183" s="72">
        <f>Y183/E183</f>
        <v>0</v>
      </c>
      <c r="BG183" s="72">
        <f>AB183/E183</f>
        <v>168.61538461538461</v>
      </c>
      <c r="BH183" s="84">
        <f>Z183/E183</f>
        <v>0</v>
      </c>
      <c r="BI183" s="72"/>
      <c r="BJ183" s="72">
        <f t="shared" si="46"/>
        <v>2494.189230769231</v>
      </c>
    </row>
    <row r="184" spans="1:62" ht="18.75">
      <c r="A184" s="36">
        <v>45740</v>
      </c>
      <c r="B184" s="65" t="s">
        <v>47</v>
      </c>
      <c r="C184" s="72"/>
      <c r="D184" s="39" t="s">
        <v>48</v>
      </c>
      <c r="E184" s="66">
        <v>3</v>
      </c>
      <c r="F184" s="73"/>
      <c r="G184" s="37" t="s">
        <v>49</v>
      </c>
      <c r="H184" s="42">
        <v>6600</v>
      </c>
      <c r="I184" s="72">
        <f t="shared" si="39"/>
        <v>4390.09</v>
      </c>
      <c r="J184" s="74">
        <f t="shared" si="40"/>
        <v>4265.0830000000005</v>
      </c>
      <c r="K184" s="74">
        <f t="shared" si="41"/>
        <v>2209.91</v>
      </c>
      <c r="L184" s="74">
        <f t="shared" si="42"/>
        <v>2334.9169999999995</v>
      </c>
      <c r="M184" s="74">
        <f t="shared" si="43"/>
        <v>0.64622469696969709</v>
      </c>
      <c r="N184" s="74">
        <f t="shared" si="44"/>
        <v>0.66516515151515154</v>
      </c>
      <c r="O184" s="75">
        <f t="shared" si="45"/>
        <v>2.9309394447892195E-2</v>
      </c>
      <c r="P184" s="71">
        <v>1142</v>
      </c>
      <c r="Q184" s="71">
        <v>366</v>
      </c>
      <c r="R184" s="71"/>
      <c r="S184" s="71"/>
      <c r="T184" s="71">
        <v>1496</v>
      </c>
      <c r="U184" s="71">
        <v>2253</v>
      </c>
      <c r="V184" s="71">
        <f>868+894</f>
        <v>1762</v>
      </c>
      <c r="W184" s="71"/>
      <c r="X184" s="71"/>
      <c r="Y184" s="71">
        <v>8.1</v>
      </c>
      <c r="Z184" s="71"/>
      <c r="AA184" s="71"/>
      <c r="AB184" s="71">
        <v>366</v>
      </c>
      <c r="AC184" s="76">
        <f>IFERROR(AD184/E184,0)</f>
        <v>4265.0830000000005</v>
      </c>
      <c r="AD184" s="77">
        <f t="shared" si="32"/>
        <v>12795.249000000002</v>
      </c>
      <c r="AE184" s="48">
        <v>400</v>
      </c>
      <c r="AF184" s="78"/>
      <c r="AG184" s="50">
        <v>100</v>
      </c>
      <c r="AH184" s="79"/>
      <c r="AI184" s="50">
        <v>510</v>
      </c>
      <c r="AJ184" s="50">
        <v>750</v>
      </c>
      <c r="AK184" s="50">
        <f>295+300</f>
        <v>595</v>
      </c>
      <c r="AL184" s="76"/>
      <c r="AM184" s="72"/>
      <c r="AN184" s="52">
        <v>3.5</v>
      </c>
      <c r="AO184" s="50"/>
      <c r="AP184" s="76"/>
      <c r="AQ184" s="52">
        <v>150</v>
      </c>
      <c r="AR184" s="82">
        <f t="shared" si="33"/>
        <v>4390.09</v>
      </c>
      <c r="AS184" s="83">
        <f>AR184*E184</f>
        <v>13170.27</v>
      </c>
      <c r="AT184" s="74">
        <f t="shared" si="34"/>
        <v>125.00699999999961</v>
      </c>
      <c r="AU184" s="73">
        <f>IFERROR(AT184*E184,0)</f>
        <v>375.02099999999882</v>
      </c>
      <c r="AV184" s="72" t="str">
        <f>D184</f>
        <v>M50</v>
      </c>
      <c r="AW184" s="72">
        <f>P184/E184</f>
        <v>380.66666666666669</v>
      </c>
      <c r="AX184" s="72">
        <f>Q184/E184</f>
        <v>122</v>
      </c>
      <c r="AY184" s="72">
        <f>R184/E184</f>
        <v>0</v>
      </c>
      <c r="AZ184" s="72">
        <f>S184/E184</f>
        <v>0</v>
      </c>
      <c r="BA184" s="72">
        <f>T184/E184</f>
        <v>498.66666666666669</v>
      </c>
      <c r="BB184" s="72">
        <f>U184/E184</f>
        <v>751</v>
      </c>
      <c r="BC184" s="72">
        <f>V184/E184</f>
        <v>587.33333333333337</v>
      </c>
      <c r="BD184" s="72"/>
      <c r="BE184" s="72">
        <f>X184/E184</f>
        <v>0</v>
      </c>
      <c r="BF184" s="72">
        <f>Y184/E184</f>
        <v>2.6999999999999997</v>
      </c>
      <c r="BG184" s="72">
        <f>AB184/E184</f>
        <v>122</v>
      </c>
      <c r="BH184" s="84">
        <f>Z184/E184</f>
        <v>0</v>
      </c>
      <c r="BI184" s="72"/>
      <c r="BJ184" s="72">
        <f t="shared" si="46"/>
        <v>2464.3666666666668</v>
      </c>
    </row>
    <row r="185" spans="1:62" ht="18.75">
      <c r="A185" s="36">
        <v>45741</v>
      </c>
      <c r="B185" s="37" t="s">
        <v>100</v>
      </c>
      <c r="C185" s="72"/>
      <c r="D185" s="39" t="s">
        <v>34</v>
      </c>
      <c r="E185" s="66">
        <v>6.5</v>
      </c>
      <c r="F185" s="73"/>
      <c r="G185" s="37" t="s">
        <v>82</v>
      </c>
      <c r="H185" s="42">
        <v>5150</v>
      </c>
      <c r="I185" s="72">
        <f t="shared" si="39"/>
        <v>3256.6862000000001</v>
      </c>
      <c r="J185" s="74">
        <f t="shared" si="40"/>
        <v>2865.9648000000007</v>
      </c>
      <c r="K185" s="74">
        <f t="shared" si="41"/>
        <v>1893.3137999999999</v>
      </c>
      <c r="L185" s="74">
        <f t="shared" si="42"/>
        <v>2284.0351999999993</v>
      </c>
      <c r="M185" s="74">
        <f t="shared" si="43"/>
        <v>0.5564980194174759</v>
      </c>
      <c r="N185" s="74">
        <f t="shared" si="44"/>
        <v>0.63236625242718447</v>
      </c>
      <c r="O185" s="75">
        <f t="shared" si="45"/>
        <v>0.13633154182493765</v>
      </c>
      <c r="P185" s="71">
        <v>653</v>
      </c>
      <c r="Q185" s="71">
        <v>784</v>
      </c>
      <c r="R185" s="71"/>
      <c r="S185" s="71"/>
      <c r="T185" s="71">
        <v>3115</v>
      </c>
      <c r="U185" s="71">
        <v>4533</v>
      </c>
      <c r="V185" s="71">
        <f>2965+2920</f>
        <v>5885</v>
      </c>
      <c r="W185" s="71"/>
      <c r="X185" s="71">
        <v>5.86</v>
      </c>
      <c r="Y185" s="71"/>
      <c r="Z185" s="71"/>
      <c r="AA185" s="71"/>
      <c r="AB185" s="71">
        <v>1155</v>
      </c>
      <c r="AC185" s="76">
        <f>IFERROR(AD185/E185,0)</f>
        <v>2865.9648000000007</v>
      </c>
      <c r="AD185" s="77">
        <f t="shared" si="32"/>
        <v>18628.771200000003</v>
      </c>
      <c r="AE185" s="48">
        <v>196</v>
      </c>
      <c r="AF185" s="78"/>
      <c r="AG185" s="50">
        <v>84</v>
      </c>
      <c r="AH185" s="79"/>
      <c r="AI185" s="50">
        <v>480</v>
      </c>
      <c r="AJ185" s="50">
        <v>715</v>
      </c>
      <c r="AK185" s="50">
        <f>440+400</f>
        <v>840</v>
      </c>
      <c r="AL185" s="76"/>
      <c r="AM185" s="72"/>
      <c r="AN185" s="52"/>
      <c r="AO185" s="50">
        <v>1.96</v>
      </c>
      <c r="AP185" s="76"/>
      <c r="AQ185" s="52">
        <v>160</v>
      </c>
      <c r="AR185" s="82">
        <f t="shared" si="33"/>
        <v>3256.6862000000001</v>
      </c>
      <c r="AS185" s="83">
        <f>AR185*E185</f>
        <v>21168.460299999999</v>
      </c>
      <c r="AT185" s="74">
        <f t="shared" si="34"/>
        <v>390.72139999999945</v>
      </c>
      <c r="AU185" s="73">
        <f>IFERROR(AT185*E185,0)</f>
        <v>2539.6890999999964</v>
      </c>
      <c r="AV185" s="72" t="str">
        <f>D185</f>
        <v>M15</v>
      </c>
      <c r="AW185" s="72">
        <f>P185/E185</f>
        <v>100.46153846153847</v>
      </c>
      <c r="AX185" s="72">
        <f>Q185/E185</f>
        <v>120.61538461538461</v>
      </c>
      <c r="AY185" s="72">
        <f>R185/E185</f>
        <v>0</v>
      </c>
      <c r="AZ185" s="72">
        <f>S185/E185</f>
        <v>0</v>
      </c>
      <c r="BA185" s="72">
        <f>T185/E185</f>
        <v>479.23076923076923</v>
      </c>
      <c r="BB185" s="72">
        <f>U185/E185</f>
        <v>697.38461538461536</v>
      </c>
      <c r="BC185" s="72">
        <f>V185/E185</f>
        <v>905.38461538461536</v>
      </c>
      <c r="BD185" s="72"/>
      <c r="BE185" s="72">
        <f>X185/E185</f>
        <v>0.90153846153846162</v>
      </c>
      <c r="BF185" s="72">
        <f>Y185/E185</f>
        <v>0</v>
      </c>
      <c r="BG185" s="72">
        <f>AB185/E185</f>
        <v>177.69230769230768</v>
      </c>
      <c r="BH185" s="84">
        <f>Z185/E185</f>
        <v>0</v>
      </c>
      <c r="BI185" s="72"/>
      <c r="BJ185" s="72">
        <f t="shared" si="46"/>
        <v>2481.6707692307691</v>
      </c>
    </row>
    <row r="186" spans="1:62" ht="18.75">
      <c r="A186" s="36">
        <v>45741</v>
      </c>
      <c r="B186" s="37" t="s">
        <v>90</v>
      </c>
      <c r="C186" s="72"/>
      <c r="D186" s="39" t="s">
        <v>37</v>
      </c>
      <c r="E186" s="66">
        <v>17</v>
      </c>
      <c r="F186" s="73"/>
      <c r="G186" s="37" t="s">
        <v>111</v>
      </c>
      <c r="H186" s="42">
        <v>5500</v>
      </c>
      <c r="I186" s="72">
        <f t="shared" si="39"/>
        <v>3500.4580000000001</v>
      </c>
      <c r="J186" s="74">
        <f t="shared" si="40"/>
        <v>3292.6765588235298</v>
      </c>
      <c r="K186" s="74">
        <f t="shared" si="41"/>
        <v>1999.5419999999999</v>
      </c>
      <c r="L186" s="74">
        <f t="shared" si="42"/>
        <v>2207.3234411764702</v>
      </c>
      <c r="M186" s="74">
        <f t="shared" si="43"/>
        <v>0.59866846524064177</v>
      </c>
      <c r="N186" s="74">
        <f t="shared" si="44"/>
        <v>0.63644690909090906</v>
      </c>
      <c r="O186" s="75">
        <f t="shared" si="45"/>
        <v>6.3104115288721299E-2</v>
      </c>
      <c r="P186" s="71">
        <v>3400</v>
      </c>
      <c r="Q186" s="71">
        <v>1713</v>
      </c>
      <c r="R186" s="71"/>
      <c r="S186" s="71"/>
      <c r="T186" s="71">
        <v>8206</v>
      </c>
      <c r="U186" s="71">
        <v>12406</v>
      </c>
      <c r="V186" s="71">
        <f>6957+6805</f>
        <v>13762</v>
      </c>
      <c r="W186" s="71"/>
      <c r="X186" s="71">
        <v>22.85</v>
      </c>
      <c r="Y186" s="71"/>
      <c r="Z186" s="71"/>
      <c r="AA186" s="71"/>
      <c r="AB186" s="71">
        <v>3160</v>
      </c>
      <c r="AC186" s="76">
        <f>IFERROR(AD186/E186,0)</f>
        <v>3292.6765588235298</v>
      </c>
      <c r="AD186" s="77">
        <f t="shared" si="32"/>
        <v>55975.501500000006</v>
      </c>
      <c r="AE186" s="50">
        <v>224</v>
      </c>
      <c r="AF186" s="78"/>
      <c r="AG186" s="50">
        <v>96</v>
      </c>
      <c r="AH186" s="79"/>
      <c r="AI186" s="50">
        <v>495</v>
      </c>
      <c r="AJ186" s="50">
        <v>740</v>
      </c>
      <c r="AK186" s="50">
        <v>800</v>
      </c>
      <c r="AL186" s="76"/>
      <c r="AM186" s="72"/>
      <c r="AN186" s="52">
        <v>1.92</v>
      </c>
      <c r="AO186" s="50"/>
      <c r="AP186" s="76"/>
      <c r="AQ186" s="52">
        <v>160</v>
      </c>
      <c r="AR186" s="82">
        <f t="shared" si="33"/>
        <v>3500.4580000000001</v>
      </c>
      <c r="AS186" s="83">
        <f>AR186*E186</f>
        <v>59507.786</v>
      </c>
      <c r="AT186" s="74">
        <f t="shared" si="34"/>
        <v>207.78144117647025</v>
      </c>
      <c r="AU186" s="73">
        <f>IFERROR(AT186*E186,0)</f>
        <v>3532.2844999999943</v>
      </c>
      <c r="AV186" s="72" t="str">
        <f>D186</f>
        <v>M20</v>
      </c>
      <c r="AW186" s="72">
        <f>P186/E186</f>
        <v>200</v>
      </c>
      <c r="AX186" s="72">
        <f>Q186/E186</f>
        <v>100.76470588235294</v>
      </c>
      <c r="AY186" s="72">
        <f>R186/E186</f>
        <v>0</v>
      </c>
      <c r="AZ186" s="72">
        <f>S186/E186</f>
        <v>0</v>
      </c>
      <c r="BA186" s="72">
        <f>T186/E186</f>
        <v>482.70588235294116</v>
      </c>
      <c r="BB186" s="72">
        <f>U186/E186</f>
        <v>729.76470588235293</v>
      </c>
      <c r="BC186" s="72">
        <f>V186/E186</f>
        <v>809.52941176470586</v>
      </c>
      <c r="BD186" s="72"/>
      <c r="BE186" s="72">
        <f>X186/E186</f>
        <v>1.3441176470588236</v>
      </c>
      <c r="BF186" s="72">
        <f>Y186/E186</f>
        <v>0</v>
      </c>
      <c r="BG186" s="72">
        <f>AB186/E186</f>
        <v>185.88235294117646</v>
      </c>
      <c r="BH186" s="84">
        <f>Z186/E186</f>
        <v>0</v>
      </c>
      <c r="BI186" s="72"/>
      <c r="BJ186" s="72">
        <f>SUM(AW186:BI186)</f>
        <v>2509.9911764705885</v>
      </c>
    </row>
    <row r="187" spans="1:62" ht="18.75">
      <c r="A187" s="36">
        <v>45741</v>
      </c>
      <c r="B187" s="37" t="s">
        <v>90</v>
      </c>
      <c r="C187" s="72"/>
      <c r="D187" s="39" t="s">
        <v>37</v>
      </c>
      <c r="E187" s="66">
        <v>8</v>
      </c>
      <c r="F187" s="73"/>
      <c r="G187" s="37" t="s">
        <v>111</v>
      </c>
      <c r="H187" s="42">
        <v>5500</v>
      </c>
      <c r="I187" s="72">
        <f t="shared" si="39"/>
        <v>3500.4580000000001</v>
      </c>
      <c r="J187" s="74">
        <f t="shared" si="40"/>
        <v>3106.3712375</v>
      </c>
      <c r="K187" s="74">
        <f t="shared" si="41"/>
        <v>1999.5419999999999</v>
      </c>
      <c r="L187" s="74">
        <f t="shared" si="42"/>
        <v>2393.6287625</v>
      </c>
      <c r="M187" s="74">
        <f t="shared" si="43"/>
        <v>0.5647947704545454</v>
      </c>
      <c r="N187" s="74">
        <f t="shared" si="44"/>
        <v>0.63644690909090906</v>
      </c>
      <c r="O187" s="75">
        <f t="shared" si="45"/>
        <v>0.1268640263412818</v>
      </c>
      <c r="P187" s="71">
        <v>1125</v>
      </c>
      <c r="Q187" s="71">
        <v>1126</v>
      </c>
      <c r="R187" s="71"/>
      <c r="S187" s="71"/>
      <c r="T187" s="71">
        <v>3874</v>
      </c>
      <c r="U187" s="71">
        <v>5791</v>
      </c>
      <c r="V187" s="71">
        <f>3340+3300</f>
        <v>6640</v>
      </c>
      <c r="W187" s="71"/>
      <c r="X187" s="71">
        <v>8.9700000000000006</v>
      </c>
      <c r="Y187" s="71"/>
      <c r="Z187" s="71"/>
      <c r="AA187" s="71"/>
      <c r="AB187" s="71">
        <v>1316</v>
      </c>
      <c r="AC187" s="76">
        <f>IFERROR(AD187/E187,0)</f>
        <v>3106.3712375</v>
      </c>
      <c r="AD187" s="77">
        <f t="shared" si="32"/>
        <v>24850.9699</v>
      </c>
      <c r="AE187" s="50">
        <v>224</v>
      </c>
      <c r="AF187" s="78"/>
      <c r="AG187" s="50">
        <v>96</v>
      </c>
      <c r="AH187" s="79"/>
      <c r="AI187" s="50">
        <v>495</v>
      </c>
      <c r="AJ187" s="50">
        <v>740</v>
      </c>
      <c r="AK187" s="50">
        <v>800</v>
      </c>
      <c r="AL187" s="76"/>
      <c r="AM187" s="72"/>
      <c r="AN187" s="52">
        <v>1.92</v>
      </c>
      <c r="AO187" s="50"/>
      <c r="AP187" s="76"/>
      <c r="AQ187" s="52">
        <v>160</v>
      </c>
      <c r="AR187" s="82">
        <f t="shared" si="33"/>
        <v>3500.4580000000001</v>
      </c>
      <c r="AS187" s="83">
        <f>AR187*E187</f>
        <v>28003.664000000001</v>
      </c>
      <c r="AT187" s="74">
        <f t="shared" si="34"/>
        <v>394.08676250000008</v>
      </c>
      <c r="AU187" s="73">
        <f>IFERROR(AT187*E187,0)</f>
        <v>3152.6941000000006</v>
      </c>
      <c r="AV187" s="72" t="str">
        <f>D187</f>
        <v>M20</v>
      </c>
      <c r="AW187" s="72">
        <f>P187/E187</f>
        <v>140.625</v>
      </c>
      <c r="AX187" s="72">
        <f>Q187/E187</f>
        <v>140.75</v>
      </c>
      <c r="AY187" s="72">
        <f>R187/E187</f>
        <v>0</v>
      </c>
      <c r="AZ187" s="72">
        <f>S187/E187</f>
        <v>0</v>
      </c>
      <c r="BA187" s="72">
        <f>T187/E187</f>
        <v>484.25</v>
      </c>
      <c r="BB187" s="72">
        <f>U187/E187</f>
        <v>723.875</v>
      </c>
      <c r="BC187" s="72">
        <f>V187/E187</f>
        <v>830</v>
      </c>
      <c r="BD187" s="72"/>
      <c r="BE187" s="72">
        <f>X187/E187</f>
        <v>1.1212500000000001</v>
      </c>
      <c r="BF187" s="72">
        <f>Y187/E187</f>
        <v>0</v>
      </c>
      <c r="BG187" s="72">
        <f>AB187/E187</f>
        <v>164.5</v>
      </c>
      <c r="BH187" s="84">
        <f>Z187/E187</f>
        <v>0</v>
      </c>
      <c r="BI187" s="72"/>
      <c r="BJ187" s="72">
        <f>SUM(AW187:BI187)</f>
        <v>2485.1212500000001</v>
      </c>
    </row>
    <row r="188" spans="1:62" ht="18.75">
      <c r="A188" s="36">
        <v>45741</v>
      </c>
      <c r="B188" s="37" t="s">
        <v>76</v>
      </c>
      <c r="C188" s="72"/>
      <c r="D188" s="39" t="s">
        <v>43</v>
      </c>
      <c r="E188" s="40">
        <v>9</v>
      </c>
      <c r="F188" s="73"/>
      <c r="G188" s="37" t="s">
        <v>77</v>
      </c>
      <c r="H188" s="42">
        <v>5800</v>
      </c>
      <c r="I188" s="72">
        <f t="shared" si="39"/>
        <v>3611.0944</v>
      </c>
      <c r="J188" s="74">
        <f t="shared" si="40"/>
        <v>3497.9219111111106</v>
      </c>
      <c r="K188" s="74">
        <f t="shared" si="41"/>
        <v>2188.9056</v>
      </c>
      <c r="L188" s="74">
        <f t="shared" si="42"/>
        <v>2302.0780888888894</v>
      </c>
      <c r="M188" s="74">
        <f t="shared" si="43"/>
        <v>0.60308998467432939</v>
      </c>
      <c r="N188" s="74">
        <f t="shared" si="44"/>
        <v>0.62260248275862073</v>
      </c>
      <c r="O188" s="75">
        <f t="shared" si="45"/>
        <v>3.2354206801872454E-2</v>
      </c>
      <c r="P188" s="71">
        <v>2068</v>
      </c>
      <c r="Q188" s="71">
        <v>1182</v>
      </c>
      <c r="R188" s="71"/>
      <c r="S188" s="71"/>
      <c r="T188" s="71">
        <v>4503</v>
      </c>
      <c r="U188" s="71">
        <v>6708</v>
      </c>
      <c r="V188" s="71">
        <f>3302+3163</f>
        <v>6465</v>
      </c>
      <c r="W188" s="71"/>
      <c r="X188" s="71">
        <v>14.36</v>
      </c>
      <c r="Y188" s="71"/>
      <c r="Z188" s="71"/>
      <c r="AA188" s="71"/>
      <c r="AB188" s="71">
        <v>1471</v>
      </c>
      <c r="AC188" s="76">
        <f>IFERROR(AD188/E188,0)</f>
        <v>3497.9219111111106</v>
      </c>
      <c r="AD188" s="77">
        <f t="shared" si="32"/>
        <v>31481.297199999997</v>
      </c>
      <c r="AE188" s="50">
        <v>252</v>
      </c>
      <c r="AF188" s="78"/>
      <c r="AG188" s="50">
        <v>108</v>
      </c>
      <c r="AH188" s="79"/>
      <c r="AI188" s="50">
        <v>525</v>
      </c>
      <c r="AJ188" s="50">
        <v>760</v>
      </c>
      <c r="AK188" s="50">
        <f>350+360</f>
        <v>710</v>
      </c>
      <c r="AL188" s="76"/>
      <c r="AM188" s="72"/>
      <c r="AN188" s="52"/>
      <c r="AO188" s="50">
        <v>2.52</v>
      </c>
      <c r="AP188" s="76"/>
      <c r="AQ188" s="52">
        <v>155</v>
      </c>
      <c r="AR188" s="82">
        <f t="shared" si="33"/>
        <v>3611.0944</v>
      </c>
      <c r="AS188" s="83">
        <f>AR188*E188</f>
        <v>32499.849600000001</v>
      </c>
      <c r="AT188" s="74">
        <f t="shared" si="34"/>
        <v>113.17248888888935</v>
      </c>
      <c r="AU188" s="73">
        <f>IFERROR(AT188*E188,0)</f>
        <v>1018.5524000000041</v>
      </c>
      <c r="AV188" s="72" t="str">
        <f>D188</f>
        <v>M30</v>
      </c>
      <c r="AW188" s="72">
        <f>P188/E188</f>
        <v>229.77777777777777</v>
      </c>
      <c r="AX188" s="72">
        <f>Q188/E188</f>
        <v>131.33333333333334</v>
      </c>
      <c r="AY188" s="72">
        <f>R188/E188</f>
        <v>0</v>
      </c>
      <c r="AZ188" s="72">
        <f>S188/E188</f>
        <v>0</v>
      </c>
      <c r="BA188" s="72">
        <f>T188/E188</f>
        <v>500.33333333333331</v>
      </c>
      <c r="BB188" s="72">
        <f>U188/E188</f>
        <v>745.33333333333337</v>
      </c>
      <c r="BC188" s="72">
        <f>V188/E188</f>
        <v>718.33333333333337</v>
      </c>
      <c r="BD188" s="72"/>
      <c r="BE188" s="72">
        <f>X188/E188</f>
        <v>1.5955555555555554</v>
      </c>
      <c r="BF188" s="72">
        <f>Y188/E188</f>
        <v>0</v>
      </c>
      <c r="BG188" s="72">
        <f>AB188/E188</f>
        <v>163.44444444444446</v>
      </c>
      <c r="BH188" s="84">
        <f>Z188/E188</f>
        <v>0</v>
      </c>
      <c r="BI188" s="72"/>
      <c r="BJ188" s="72">
        <f>SUM(AW188:BI188)</f>
        <v>2490.1511111111113</v>
      </c>
    </row>
    <row r="189" spans="1:62" ht="18.75">
      <c r="A189" s="36">
        <v>45741</v>
      </c>
      <c r="B189" s="37" t="s">
        <v>45</v>
      </c>
      <c r="C189" s="72"/>
      <c r="D189" s="39" t="s">
        <v>43</v>
      </c>
      <c r="E189" s="66">
        <v>70</v>
      </c>
      <c r="F189" s="73"/>
      <c r="G189" s="37" t="s">
        <v>46</v>
      </c>
      <c r="H189" s="42">
        <v>6000</v>
      </c>
      <c r="I189" s="72">
        <f t="shared" si="39"/>
        <v>4033.4050000000002</v>
      </c>
      <c r="J189" s="74">
        <f t="shared" si="40"/>
        <v>3697.0275071428573</v>
      </c>
      <c r="K189" s="74">
        <f t="shared" si="41"/>
        <v>1966.5949999999998</v>
      </c>
      <c r="L189" s="74">
        <f t="shared" si="42"/>
        <v>2302.9724928571427</v>
      </c>
      <c r="M189" s="74">
        <f t="shared" si="43"/>
        <v>0.61617125119047622</v>
      </c>
      <c r="N189" s="74">
        <f t="shared" si="44"/>
        <v>0.67223416666666669</v>
      </c>
      <c r="O189" s="75">
        <f t="shared" si="45"/>
        <v>9.0985931862081981E-2</v>
      </c>
      <c r="P189" s="71">
        <v>21005</v>
      </c>
      <c r="Q189" s="71">
        <v>5668</v>
      </c>
      <c r="R189" s="71"/>
      <c r="S189" s="71"/>
      <c r="T189" s="71">
        <v>34921</v>
      </c>
      <c r="U189" s="71">
        <v>52291</v>
      </c>
      <c r="V189" s="71">
        <f>23969+24605</f>
        <v>48574</v>
      </c>
      <c r="W189" s="71"/>
      <c r="X189" s="71">
        <v>120.05</v>
      </c>
      <c r="Y189" s="71"/>
      <c r="Z189" s="71"/>
      <c r="AA189" s="71"/>
      <c r="AB189" s="71">
        <v>12387</v>
      </c>
      <c r="AC189" s="76">
        <f>IFERROR(AD189/E189,0)</f>
        <v>3697.0275071428573</v>
      </c>
      <c r="AD189" s="77">
        <f t="shared" si="32"/>
        <v>258791.92550000001</v>
      </c>
      <c r="AE189" s="48">
        <v>380</v>
      </c>
      <c r="AF189" s="78"/>
      <c r="AG189" s="50">
        <v>0</v>
      </c>
      <c r="AH189" s="79"/>
      <c r="AI189" s="50">
        <v>495</v>
      </c>
      <c r="AJ189" s="50">
        <v>745</v>
      </c>
      <c r="AK189" s="50">
        <f>380+380</f>
        <v>760</v>
      </c>
      <c r="AL189" s="76"/>
      <c r="AM189" s="72"/>
      <c r="AN189" s="52">
        <v>2.4700000000000002</v>
      </c>
      <c r="AO189" s="50"/>
      <c r="AP189" s="76"/>
      <c r="AQ189" s="52">
        <v>144</v>
      </c>
      <c r="AR189" s="82">
        <f t="shared" si="33"/>
        <v>4033.4050000000002</v>
      </c>
      <c r="AS189" s="83">
        <f>AR189*E189</f>
        <v>282338.35000000003</v>
      </c>
      <c r="AT189" s="74">
        <f t="shared" si="34"/>
        <v>336.3774928571429</v>
      </c>
      <c r="AU189" s="73">
        <f>IFERROR(AT189*E189,0)</f>
        <v>23546.424500000001</v>
      </c>
      <c r="AV189" s="72" t="str">
        <f>D189</f>
        <v>M30</v>
      </c>
      <c r="AW189" s="72">
        <f>P189/E189</f>
        <v>300.07142857142856</v>
      </c>
      <c r="AX189" s="72">
        <f>Q189/E189</f>
        <v>80.971428571428575</v>
      </c>
      <c r="AY189" s="72">
        <f>R189/E189</f>
        <v>0</v>
      </c>
      <c r="AZ189" s="72">
        <f>S189/E189</f>
        <v>0</v>
      </c>
      <c r="BA189" s="72">
        <f>T189/E189</f>
        <v>498.87142857142857</v>
      </c>
      <c r="BB189" s="72">
        <f>U189/E189</f>
        <v>747.01428571428573</v>
      </c>
      <c r="BC189" s="72">
        <f>V189/E189</f>
        <v>693.91428571428571</v>
      </c>
      <c r="BD189" s="72"/>
      <c r="BE189" s="72">
        <f>X189/E189</f>
        <v>1.7149999999999999</v>
      </c>
      <c r="BF189" s="72">
        <f>Y189/E189</f>
        <v>0</v>
      </c>
      <c r="BG189" s="72">
        <f>AB189/E189</f>
        <v>176.95714285714286</v>
      </c>
      <c r="BH189" s="84">
        <f>Z189/E189</f>
        <v>0</v>
      </c>
      <c r="BI189" s="72"/>
      <c r="BJ189" s="72">
        <f>SUM(AW189:BI189)</f>
        <v>2499.5150000000003</v>
      </c>
    </row>
    <row r="190" spans="1:62" ht="18.75">
      <c r="A190" s="36">
        <v>45741</v>
      </c>
      <c r="B190" s="37" t="s">
        <v>36</v>
      </c>
      <c r="C190" s="72"/>
      <c r="D190" s="39" t="s">
        <v>43</v>
      </c>
      <c r="E190" s="66">
        <v>4</v>
      </c>
      <c r="F190" s="73"/>
      <c r="G190" s="37" t="s">
        <v>44</v>
      </c>
      <c r="H190" s="42">
        <v>5800</v>
      </c>
      <c r="I190" s="72">
        <f t="shared" si="39"/>
        <v>3627.3514</v>
      </c>
      <c r="J190" s="74">
        <f t="shared" si="40"/>
        <v>3419.5784750000003</v>
      </c>
      <c r="K190" s="74">
        <f t="shared" si="41"/>
        <v>2172.6486</v>
      </c>
      <c r="L190" s="74">
        <f t="shared" si="42"/>
        <v>2380.4215249999997</v>
      </c>
      <c r="M190" s="74">
        <f t="shared" si="43"/>
        <v>0.58958249568965526</v>
      </c>
      <c r="N190" s="74">
        <f t="shared" si="44"/>
        <v>0.62540541379310344</v>
      </c>
      <c r="O190" s="75">
        <f t="shared" si="45"/>
        <v>6.0759806075220829E-2</v>
      </c>
      <c r="P190" s="71">
        <f>441+405</f>
        <v>846</v>
      </c>
      <c r="Q190" s="71">
        <v>523</v>
      </c>
      <c r="R190" s="71"/>
      <c r="S190" s="71"/>
      <c r="T190" s="71">
        <v>1887</v>
      </c>
      <c r="U190" s="71">
        <v>2913</v>
      </c>
      <c r="V190" s="71">
        <f>1602+1610</f>
        <v>3212</v>
      </c>
      <c r="W190" s="71"/>
      <c r="X190" s="71">
        <v>4.87</v>
      </c>
      <c r="Y190" s="71"/>
      <c r="Z190" s="71"/>
      <c r="AA190" s="71"/>
      <c r="AB190" s="71">
        <v>649</v>
      </c>
      <c r="AC190" s="76">
        <f>IFERROR(AD190/E190,0)</f>
        <v>3419.5784750000003</v>
      </c>
      <c r="AD190" s="77">
        <f t="shared" si="32"/>
        <v>13678.313900000001</v>
      </c>
      <c r="AE190" s="48">
        <v>252</v>
      </c>
      <c r="AF190" s="78"/>
      <c r="AG190" s="50">
        <v>108</v>
      </c>
      <c r="AH190" s="79"/>
      <c r="AI190" s="50">
        <v>495</v>
      </c>
      <c r="AJ190" s="50">
        <v>743</v>
      </c>
      <c r="AK190" s="50">
        <f>300+475</f>
        <v>775</v>
      </c>
      <c r="AL190" s="76"/>
      <c r="AM190" s="72"/>
      <c r="AN190" s="52"/>
      <c r="AO190" s="50">
        <v>2.52</v>
      </c>
      <c r="AP190" s="76"/>
      <c r="AQ190" s="52">
        <v>150</v>
      </c>
      <c r="AR190" s="82">
        <f t="shared" si="33"/>
        <v>3627.3514</v>
      </c>
      <c r="AS190" s="83">
        <f>AR190*E190</f>
        <v>14509.4056</v>
      </c>
      <c r="AT190" s="74">
        <f t="shared" si="34"/>
        <v>207.77292499999976</v>
      </c>
      <c r="AU190" s="73">
        <f>IFERROR(AT190*E190,0)</f>
        <v>831.09169999999904</v>
      </c>
      <c r="AV190" s="72" t="str">
        <f>D190</f>
        <v>M30</v>
      </c>
      <c r="AW190" s="72">
        <f>P190/E190</f>
        <v>211.5</v>
      </c>
      <c r="AX190" s="72">
        <f>Q190/E190</f>
        <v>130.75</v>
      </c>
      <c r="AY190" s="72">
        <f>R190/E190</f>
        <v>0</v>
      </c>
      <c r="AZ190" s="72">
        <f>S190/E190</f>
        <v>0</v>
      </c>
      <c r="BA190" s="72">
        <f>T190/E190</f>
        <v>471.75</v>
      </c>
      <c r="BB190" s="72">
        <f>U190/E190</f>
        <v>728.25</v>
      </c>
      <c r="BC190" s="72">
        <f>V190/E190</f>
        <v>803</v>
      </c>
      <c r="BD190" s="72"/>
      <c r="BE190" s="72">
        <f>X190/E190</f>
        <v>1.2175</v>
      </c>
      <c r="BF190" s="72">
        <f>Y190/E190</f>
        <v>0</v>
      </c>
      <c r="BG190" s="72">
        <f>AB190/E190</f>
        <v>162.25</v>
      </c>
      <c r="BH190" s="84">
        <f>Z190/E190</f>
        <v>0</v>
      </c>
      <c r="BI190" s="72"/>
      <c r="BJ190" s="72">
        <f>SUM(AW190:BI190)</f>
        <v>2508.7175000000002</v>
      </c>
    </row>
    <row r="191" spans="1:62" ht="18.75">
      <c r="A191" s="36">
        <v>45742</v>
      </c>
      <c r="B191" s="37" t="s">
        <v>112</v>
      </c>
      <c r="C191" s="72"/>
      <c r="D191" s="39" t="s">
        <v>31</v>
      </c>
      <c r="E191" s="66">
        <v>42</v>
      </c>
      <c r="F191" s="73"/>
      <c r="G191" s="37" t="s">
        <v>32</v>
      </c>
      <c r="H191" s="42">
        <v>5400</v>
      </c>
      <c r="I191" s="72">
        <f t="shared" si="39"/>
        <v>3003.4838000000004</v>
      </c>
      <c r="J191" s="74">
        <f t="shared" si="40"/>
        <v>2639.0566547619046</v>
      </c>
      <c r="K191" s="74">
        <f t="shared" si="41"/>
        <v>2396.5161999999996</v>
      </c>
      <c r="L191" s="74">
        <f t="shared" si="42"/>
        <v>2760.9433452380954</v>
      </c>
      <c r="M191" s="74">
        <f t="shared" si="43"/>
        <v>0.48871419532627863</v>
      </c>
      <c r="N191" s="74">
        <f t="shared" si="44"/>
        <v>0.55620070370370378</v>
      </c>
      <c r="O191" s="75">
        <f t="shared" si="45"/>
        <v>0.13808992867982758</v>
      </c>
      <c r="P191" s="71">
        <v>2569</v>
      </c>
      <c r="Q191" s="71">
        <v>4230</v>
      </c>
      <c r="R191" s="71"/>
      <c r="S191" s="71"/>
      <c r="T191" s="71">
        <v>19282</v>
      </c>
      <c r="U191" s="71">
        <v>28524</v>
      </c>
      <c r="V191" s="71">
        <f>20879+20769</f>
        <v>41648</v>
      </c>
      <c r="W191" s="71"/>
      <c r="X191" s="71">
        <v>33.15</v>
      </c>
      <c r="Y191" s="71"/>
      <c r="Z191" s="71"/>
      <c r="AA191" s="71"/>
      <c r="AB191" s="71">
        <v>7922</v>
      </c>
      <c r="AC191" s="76">
        <f>IFERROR(AD191/E191,0)</f>
        <v>2639.0566547619046</v>
      </c>
      <c r="AD191" s="77">
        <f t="shared" si="32"/>
        <v>110840.3795</v>
      </c>
      <c r="AE191" s="48">
        <v>154</v>
      </c>
      <c r="AF191" s="78"/>
      <c r="AG191" s="50">
        <v>66</v>
      </c>
      <c r="AH191" s="79"/>
      <c r="AI191" s="50">
        <v>480</v>
      </c>
      <c r="AJ191" s="50">
        <v>700</v>
      </c>
      <c r="AK191" s="50">
        <f>450+450</f>
        <v>900</v>
      </c>
      <c r="AL191" s="76"/>
      <c r="AM191" s="72"/>
      <c r="AN191" s="52"/>
      <c r="AO191" s="50">
        <v>1.54</v>
      </c>
      <c r="AP191" s="76"/>
      <c r="AQ191" s="52">
        <v>154</v>
      </c>
      <c r="AR191" s="82">
        <f t="shared" si="33"/>
        <v>3003.4838000000004</v>
      </c>
      <c r="AS191" s="83">
        <f>AR191*E191</f>
        <v>126146.31960000002</v>
      </c>
      <c r="AT191" s="74">
        <f t="shared" si="34"/>
        <v>364.42714523809582</v>
      </c>
      <c r="AU191" s="73">
        <f>IFERROR(AT191*E191,0)</f>
        <v>15305.940100000025</v>
      </c>
      <c r="AV191" s="72" t="str">
        <f>D191</f>
        <v>M10</v>
      </c>
      <c r="AW191" s="72">
        <f>P191/E191</f>
        <v>61.166666666666664</v>
      </c>
      <c r="AX191" s="72">
        <f>Q191/E191</f>
        <v>100.71428571428571</v>
      </c>
      <c r="AY191" s="72">
        <f>R191/E191</f>
        <v>0</v>
      </c>
      <c r="AZ191" s="72">
        <f>S191/E191</f>
        <v>0</v>
      </c>
      <c r="BA191" s="72">
        <f>T191/E191</f>
        <v>459.09523809523807</v>
      </c>
      <c r="BB191" s="72">
        <f>U191/E191</f>
        <v>679.14285714285711</v>
      </c>
      <c r="BC191" s="72">
        <f>V191/E191</f>
        <v>991.61904761904759</v>
      </c>
      <c r="BD191" s="72"/>
      <c r="BE191" s="72">
        <f>X191/E191</f>
        <v>0.78928571428571426</v>
      </c>
      <c r="BF191" s="72">
        <f>Y191/E191</f>
        <v>0</v>
      </c>
      <c r="BG191" s="72">
        <f>AB191/E191</f>
        <v>188.61904761904762</v>
      </c>
      <c r="BH191" s="84">
        <f>Z191/E191</f>
        <v>0</v>
      </c>
      <c r="BI191" s="72"/>
      <c r="BJ191" s="72">
        <f t="shared" ref="BJ191:BJ254" si="48">SUM(AW191:BI191)</f>
        <v>2481.1464285714287</v>
      </c>
    </row>
    <row r="192" spans="1:62" ht="18.75">
      <c r="A192" s="36">
        <v>45742</v>
      </c>
      <c r="B192" s="37" t="s">
        <v>90</v>
      </c>
      <c r="C192" s="72"/>
      <c r="D192" s="39" t="s">
        <v>34</v>
      </c>
      <c r="E192" s="40">
        <v>6.5</v>
      </c>
      <c r="F192" s="73"/>
      <c r="G192" s="37" t="s">
        <v>69</v>
      </c>
      <c r="H192" s="42">
        <v>5000</v>
      </c>
      <c r="I192" s="72">
        <f t="shared" si="39"/>
        <v>3503.5650000000005</v>
      </c>
      <c r="J192" s="74">
        <f t="shared" si="40"/>
        <v>2871.1068981132071</v>
      </c>
      <c r="K192" s="74">
        <f t="shared" si="41"/>
        <v>1496.4349999999995</v>
      </c>
      <c r="L192" s="74">
        <f t="shared" si="42"/>
        <v>2128.8931018867929</v>
      </c>
      <c r="M192" s="74">
        <f t="shared" si="43"/>
        <v>0.57422137962264141</v>
      </c>
      <c r="N192" s="74">
        <f t="shared" si="44"/>
        <v>0.70071300000000014</v>
      </c>
      <c r="O192" s="75">
        <f t="shared" si="45"/>
        <v>0.2202837178589287</v>
      </c>
      <c r="P192" s="71">
        <v>656.62264150943406</v>
      </c>
      <c r="Q192" s="71">
        <v>784.90566037735846</v>
      </c>
      <c r="R192" s="71">
        <v>0</v>
      </c>
      <c r="S192" s="71">
        <v>0</v>
      </c>
      <c r="T192" s="71">
        <v>3102.5849056603774</v>
      </c>
      <c r="U192" s="71">
        <v>4534.7924528301883</v>
      </c>
      <c r="V192" s="71">
        <v>5908.132075471698</v>
      </c>
      <c r="W192" s="71">
        <v>0</v>
      </c>
      <c r="X192" s="71">
        <v>5.9456603773584904</v>
      </c>
      <c r="Y192" s="71">
        <v>0</v>
      </c>
      <c r="Z192" s="71">
        <v>0</v>
      </c>
      <c r="AA192" s="71">
        <v>0</v>
      </c>
      <c r="AB192" s="71">
        <v>1118</v>
      </c>
      <c r="AC192" s="76">
        <f>IFERROR(AD192/E192,0)</f>
        <v>2871.1068981132071</v>
      </c>
      <c r="AD192" s="77">
        <f t="shared" si="32"/>
        <v>18662.194837735846</v>
      </c>
      <c r="AE192" s="48">
        <v>280</v>
      </c>
      <c r="AF192" s="78"/>
      <c r="AG192" s="50">
        <v>0</v>
      </c>
      <c r="AH192" s="79"/>
      <c r="AI192" s="50">
        <v>480</v>
      </c>
      <c r="AJ192" s="50">
        <v>715</v>
      </c>
      <c r="AK192" s="50">
        <f>440+400</f>
        <v>840</v>
      </c>
      <c r="AL192" s="76"/>
      <c r="AM192" s="72"/>
      <c r="AN192" s="52">
        <v>1.96</v>
      </c>
      <c r="AO192" s="50"/>
      <c r="AP192" s="76"/>
      <c r="AQ192" s="52">
        <v>160</v>
      </c>
      <c r="AR192" s="82">
        <f t="shared" si="33"/>
        <v>3503.5650000000005</v>
      </c>
      <c r="AS192" s="83">
        <f>AR192*E192</f>
        <v>22773.172500000004</v>
      </c>
      <c r="AT192" s="74">
        <f t="shared" si="34"/>
        <v>632.45810188679343</v>
      </c>
      <c r="AU192" s="73">
        <f>IFERROR(AT192*E192,0)</f>
        <v>4110.9776622641575</v>
      </c>
      <c r="AV192" s="72" t="str">
        <f>D192</f>
        <v>M15</v>
      </c>
      <c r="AW192" s="72">
        <f>P192/E192</f>
        <v>101.01886792452832</v>
      </c>
      <c r="AX192" s="72">
        <f>Q192/E192</f>
        <v>120.75471698113208</v>
      </c>
      <c r="AY192" s="72">
        <f>R192/E192</f>
        <v>0</v>
      </c>
      <c r="AZ192" s="72">
        <f>S192/E192</f>
        <v>0</v>
      </c>
      <c r="BA192" s="72">
        <f>T192/E192</f>
        <v>477.32075471698113</v>
      </c>
      <c r="BB192" s="72">
        <f>U192/E192</f>
        <v>697.66037735849045</v>
      </c>
      <c r="BC192" s="72">
        <f>V192/E192</f>
        <v>908.94339622641508</v>
      </c>
      <c r="BD192" s="72"/>
      <c r="BE192" s="72">
        <f>X192/E192</f>
        <v>0.91471698113207545</v>
      </c>
      <c r="BF192" s="72">
        <f>Y192/E192</f>
        <v>0</v>
      </c>
      <c r="BG192" s="72">
        <f>AB192/E192</f>
        <v>172</v>
      </c>
      <c r="BH192" s="84">
        <f>Z192/E192</f>
        <v>0</v>
      </c>
      <c r="BI192" s="72"/>
      <c r="BJ192" s="72">
        <f t="shared" si="48"/>
        <v>2478.6128301886793</v>
      </c>
    </row>
    <row r="193" spans="1:62" ht="18.75">
      <c r="A193" s="36">
        <v>45742</v>
      </c>
      <c r="B193" s="37" t="s">
        <v>84</v>
      </c>
      <c r="C193" s="72"/>
      <c r="D193" s="39" t="s">
        <v>34</v>
      </c>
      <c r="E193" s="66">
        <v>20</v>
      </c>
      <c r="F193" s="73"/>
      <c r="G193" s="37" t="s">
        <v>82</v>
      </c>
      <c r="H193" s="42">
        <v>4900</v>
      </c>
      <c r="I193" s="72">
        <f t="shared" si="39"/>
        <v>3256.6862000000001</v>
      </c>
      <c r="J193" s="74">
        <f t="shared" si="40"/>
        <v>2871.106898113208</v>
      </c>
      <c r="K193" s="74">
        <f t="shared" si="41"/>
        <v>1643.3137999999999</v>
      </c>
      <c r="L193" s="74">
        <f t="shared" si="42"/>
        <v>2028.893101886792</v>
      </c>
      <c r="M193" s="74">
        <f t="shared" si="43"/>
        <v>0.5859401832884098</v>
      </c>
      <c r="N193" s="74">
        <f t="shared" si="44"/>
        <v>0.66462983673469389</v>
      </c>
      <c r="O193" s="75">
        <f t="shared" si="45"/>
        <v>0.13429639354082615</v>
      </c>
      <c r="P193" s="71">
        <v>2020.3773584905662</v>
      </c>
      <c r="Q193" s="71">
        <v>2415.0943396226417</v>
      </c>
      <c r="R193" s="71">
        <v>0</v>
      </c>
      <c r="S193" s="71">
        <v>0</v>
      </c>
      <c r="T193" s="71">
        <v>9546.4150943396235</v>
      </c>
      <c r="U193" s="71">
        <v>13953.207547169812</v>
      </c>
      <c r="V193" s="71">
        <v>18178.867924528302</v>
      </c>
      <c r="W193" s="71">
        <v>0</v>
      </c>
      <c r="X193" s="71">
        <v>18.294339622641509</v>
      </c>
      <c r="Y193" s="71">
        <v>0</v>
      </c>
      <c r="Z193" s="71">
        <v>0</v>
      </c>
      <c r="AA193" s="71">
        <v>0</v>
      </c>
      <c r="AB193" s="71">
        <v>3440</v>
      </c>
      <c r="AC193" s="76">
        <f>IFERROR(AD193/E193,0)</f>
        <v>2871.106898113208</v>
      </c>
      <c r="AD193" s="77">
        <f t="shared" si="32"/>
        <v>57422.137962264162</v>
      </c>
      <c r="AE193" s="48">
        <v>196</v>
      </c>
      <c r="AF193" s="78"/>
      <c r="AG193" s="50">
        <v>84</v>
      </c>
      <c r="AH193" s="79"/>
      <c r="AI193" s="50">
        <v>480</v>
      </c>
      <c r="AJ193" s="50">
        <v>715</v>
      </c>
      <c r="AK193" s="50">
        <f>440+400</f>
        <v>840</v>
      </c>
      <c r="AL193" s="76"/>
      <c r="AM193" s="72"/>
      <c r="AN193" s="52"/>
      <c r="AO193" s="50">
        <v>1.96</v>
      </c>
      <c r="AP193" s="76"/>
      <c r="AQ193" s="52">
        <v>160</v>
      </c>
      <c r="AR193" s="82">
        <f t="shared" si="33"/>
        <v>3256.6862000000001</v>
      </c>
      <c r="AS193" s="83">
        <f>AR193*E193</f>
        <v>65133.724000000002</v>
      </c>
      <c r="AT193" s="74">
        <f t="shared" si="34"/>
        <v>385.57930188679211</v>
      </c>
      <c r="AU193" s="73">
        <f>IFERROR(AT193*E193,0)</f>
        <v>7711.5860377358422</v>
      </c>
      <c r="AV193" s="72" t="str">
        <f>D193</f>
        <v>M15</v>
      </c>
      <c r="AW193" s="72">
        <f>P193/E193</f>
        <v>101.01886792452831</v>
      </c>
      <c r="AX193" s="72">
        <f>Q193/E193</f>
        <v>120.75471698113208</v>
      </c>
      <c r="AY193" s="72">
        <f>R193/E193</f>
        <v>0</v>
      </c>
      <c r="AZ193" s="72">
        <f>S193/E193</f>
        <v>0</v>
      </c>
      <c r="BA193" s="72">
        <f>T193/E193</f>
        <v>477.32075471698118</v>
      </c>
      <c r="BB193" s="72">
        <f>U193/E193</f>
        <v>697.66037735849056</v>
      </c>
      <c r="BC193" s="72">
        <f>V193/E193</f>
        <v>908.94339622641508</v>
      </c>
      <c r="BD193" s="72"/>
      <c r="BE193" s="72">
        <f>X193/E193</f>
        <v>0.91471698113207545</v>
      </c>
      <c r="BF193" s="72">
        <f>Y193/E193</f>
        <v>0</v>
      </c>
      <c r="BG193" s="72">
        <f>AB193/E193</f>
        <v>172</v>
      </c>
      <c r="BH193" s="84">
        <f>Z193/E193</f>
        <v>0</v>
      </c>
      <c r="BI193" s="72"/>
      <c r="BJ193" s="72">
        <f t="shared" si="48"/>
        <v>2478.6128301886793</v>
      </c>
    </row>
    <row r="194" spans="1:62" ht="18.75">
      <c r="A194" s="36">
        <v>45742</v>
      </c>
      <c r="B194" s="37" t="s">
        <v>60</v>
      </c>
      <c r="C194" s="72"/>
      <c r="D194" s="39" t="s">
        <v>37</v>
      </c>
      <c r="E194" s="40">
        <v>24</v>
      </c>
      <c r="F194" s="73"/>
      <c r="G194" s="37" t="s">
        <v>38</v>
      </c>
      <c r="H194" s="42">
        <v>5900</v>
      </c>
      <c r="I194" s="72">
        <f t="shared" si="39"/>
        <v>3382.0320000000002</v>
      </c>
      <c r="J194" s="74">
        <f t="shared" si="40"/>
        <v>3249.24505</v>
      </c>
      <c r="K194" s="74">
        <f t="shared" si="41"/>
        <v>2517.9679999999998</v>
      </c>
      <c r="L194" s="74">
        <f t="shared" si="42"/>
        <v>2650.75495</v>
      </c>
      <c r="M194" s="74">
        <f t="shared" si="43"/>
        <v>0.55071950000000003</v>
      </c>
      <c r="N194" s="74">
        <f t="shared" si="44"/>
        <v>0.57322576271186443</v>
      </c>
      <c r="O194" s="75">
        <f t="shared" si="45"/>
        <v>4.086701617041779E-2</v>
      </c>
      <c r="P194" s="71">
        <v>4324</v>
      </c>
      <c r="Q194" s="71">
        <v>2902</v>
      </c>
      <c r="R194" s="71">
        <v>0</v>
      </c>
      <c r="S194" s="71">
        <v>0</v>
      </c>
      <c r="T194" s="71">
        <v>11419</v>
      </c>
      <c r="U194" s="71">
        <v>17858</v>
      </c>
      <c r="V194" s="71">
        <f>9740+9548</f>
        <v>19288</v>
      </c>
      <c r="W194" s="71">
        <v>0</v>
      </c>
      <c r="X194" s="71">
        <v>31.36</v>
      </c>
      <c r="Y194" s="71">
        <v>0</v>
      </c>
      <c r="Z194" s="71">
        <v>0</v>
      </c>
      <c r="AA194" s="71">
        <v>0</v>
      </c>
      <c r="AB194" s="71">
        <v>4260</v>
      </c>
      <c r="AC194" s="76">
        <f>IFERROR(AD194/E194,0)</f>
        <v>3249.24505</v>
      </c>
      <c r="AD194" s="77">
        <f t="shared" si="32"/>
        <v>77981.881200000003</v>
      </c>
      <c r="AE194" s="48">
        <v>210</v>
      </c>
      <c r="AF194" s="78"/>
      <c r="AG194" s="50">
        <v>90</v>
      </c>
      <c r="AH194" s="79"/>
      <c r="AI194" s="50">
        <v>500</v>
      </c>
      <c r="AJ194" s="50">
        <v>755</v>
      </c>
      <c r="AK194" s="50">
        <v>810</v>
      </c>
      <c r="AL194" s="76"/>
      <c r="AM194" s="72"/>
      <c r="AN194" s="52"/>
      <c r="AO194" s="52">
        <v>2.1</v>
      </c>
      <c r="AP194" s="76"/>
      <c r="AQ194" s="52">
        <v>159</v>
      </c>
      <c r="AR194" s="82">
        <f t="shared" si="33"/>
        <v>3382.0320000000002</v>
      </c>
      <c r="AS194" s="83">
        <f>AR194*E194</f>
        <v>81168.768000000011</v>
      </c>
      <c r="AT194" s="74">
        <f t="shared" si="34"/>
        <v>132.78695000000016</v>
      </c>
      <c r="AU194" s="73">
        <f>IFERROR(AT194*E194,0)</f>
        <v>3186.8868000000039</v>
      </c>
      <c r="AV194" s="72" t="str">
        <f>D194</f>
        <v>M20</v>
      </c>
      <c r="AW194" s="72">
        <f>P194/E194</f>
        <v>180.16666666666666</v>
      </c>
      <c r="AX194" s="72">
        <f>Q194/E194</f>
        <v>120.91666666666667</v>
      </c>
      <c r="AY194" s="72">
        <f>R194/E194</f>
        <v>0</v>
      </c>
      <c r="AZ194" s="72">
        <f>S194/E194</f>
        <v>0</v>
      </c>
      <c r="BA194" s="72">
        <f>T194/E194</f>
        <v>475.79166666666669</v>
      </c>
      <c r="BB194" s="72">
        <f>U194/E194</f>
        <v>744.08333333333337</v>
      </c>
      <c r="BC194" s="72">
        <f>V194/E194</f>
        <v>803.66666666666663</v>
      </c>
      <c r="BD194" s="72"/>
      <c r="BE194" s="72">
        <f>X194/E194</f>
        <v>1.3066666666666666</v>
      </c>
      <c r="BF194" s="72">
        <f>Y194/E194</f>
        <v>0</v>
      </c>
      <c r="BG194" s="72">
        <f>AB194/E194</f>
        <v>177.5</v>
      </c>
      <c r="BH194" s="84">
        <f>Z194/E194</f>
        <v>0</v>
      </c>
      <c r="BI194" s="72"/>
      <c r="BJ194" s="72">
        <f t="shared" si="48"/>
        <v>2503.4316666666668</v>
      </c>
    </row>
    <row r="195" spans="1:62" ht="18.75">
      <c r="A195" s="36">
        <v>45742</v>
      </c>
      <c r="B195" s="37" t="s">
        <v>60</v>
      </c>
      <c r="C195" s="72"/>
      <c r="D195" s="39" t="s">
        <v>37</v>
      </c>
      <c r="E195" s="40">
        <v>16</v>
      </c>
      <c r="F195" s="73"/>
      <c r="G195" s="37" t="s">
        <v>38</v>
      </c>
      <c r="H195" s="42">
        <v>5900</v>
      </c>
      <c r="I195" s="72">
        <f t="shared" si="39"/>
        <v>3382.0320000000002</v>
      </c>
      <c r="J195" s="74">
        <f t="shared" si="40"/>
        <v>3051.1677937499999</v>
      </c>
      <c r="K195" s="74">
        <f t="shared" si="41"/>
        <v>2517.9679999999998</v>
      </c>
      <c r="L195" s="74">
        <f t="shared" si="42"/>
        <v>2848.8322062500001</v>
      </c>
      <c r="M195" s="74">
        <f t="shared" si="43"/>
        <v>0.51714708368644069</v>
      </c>
      <c r="N195" s="74">
        <f t="shared" si="44"/>
        <v>0.57322576271186443</v>
      </c>
      <c r="O195" s="75">
        <f t="shared" si="45"/>
        <v>0.10843854832492038</v>
      </c>
      <c r="P195" s="71">
        <v>2095</v>
      </c>
      <c r="Q195" s="71">
        <v>2098</v>
      </c>
      <c r="R195" s="71"/>
      <c r="S195" s="71"/>
      <c r="T195" s="71">
        <v>7820</v>
      </c>
      <c r="U195" s="71">
        <v>11672</v>
      </c>
      <c r="V195" s="71">
        <v>13580</v>
      </c>
      <c r="W195" s="71"/>
      <c r="X195" s="71">
        <v>17.510000000000002</v>
      </c>
      <c r="Y195" s="71"/>
      <c r="Z195" s="71"/>
      <c r="AA195" s="71"/>
      <c r="AB195" s="71">
        <v>2597</v>
      </c>
      <c r="AC195" s="76">
        <f>IFERROR(AD195/E195,0)</f>
        <v>3051.1677937499999</v>
      </c>
      <c r="AD195" s="77">
        <f t="shared" ref="AD195:AD255" si="49">IFERROR(($P$2*P195)+($Q$2*Q195)+($R$2*R195)+($S$2*S195)+($T$2*T195)+($U$2*U195)+($V$2*V195)+($W$2*W195)+($X$2*X195)+($Y$2*Y195)+($Z$2*Z195)+($AA$2*AA195)+(AB195*AB$2),0)</f>
        <v>48818.684699999998</v>
      </c>
      <c r="AE195" s="48">
        <v>210</v>
      </c>
      <c r="AF195" s="78"/>
      <c r="AG195" s="50">
        <v>90</v>
      </c>
      <c r="AH195" s="79"/>
      <c r="AI195" s="50">
        <v>500</v>
      </c>
      <c r="AJ195" s="50">
        <v>755</v>
      </c>
      <c r="AK195" s="50">
        <v>810</v>
      </c>
      <c r="AL195" s="76"/>
      <c r="AM195" s="72"/>
      <c r="AN195" s="52"/>
      <c r="AO195" s="52">
        <v>2.1</v>
      </c>
      <c r="AP195" s="76"/>
      <c r="AQ195" s="52">
        <v>159</v>
      </c>
      <c r="AR195" s="82">
        <f t="shared" ref="AR195:AR255" si="50">+($AE$2*AE195)+($AF$2*AF195)+($AG$2*AG195)+($AH$2*AH195)+($AI$2*AI195)+($AJ$2*AJ195)+($AK$2*AK195)+($AL$2*AL195)+($AM$2*AM195)+($AN$2*AN195)+($AO$2*AO195)+($AP$2*AP195)+($AQ$2*AQ195)</f>
        <v>3382.0320000000002</v>
      </c>
      <c r="AS195" s="83">
        <f>AR195*E195</f>
        <v>54112.512000000002</v>
      </c>
      <c r="AT195" s="74">
        <f t="shared" ref="AT195:AT255" si="51">IFERROR(AR195-AC195,0)</f>
        <v>330.86420625000028</v>
      </c>
      <c r="AU195" s="73">
        <f>IFERROR(AT195*E195,0)</f>
        <v>5293.8273000000045</v>
      </c>
      <c r="AV195" s="72" t="str">
        <f>D195</f>
        <v>M20</v>
      </c>
      <c r="AW195" s="72">
        <f>P195/E195</f>
        <v>130.9375</v>
      </c>
      <c r="AX195" s="72">
        <f>Q195/E195</f>
        <v>131.125</v>
      </c>
      <c r="AY195" s="72">
        <f>R195/E195</f>
        <v>0</v>
      </c>
      <c r="AZ195" s="72">
        <f>S195/E195</f>
        <v>0</v>
      </c>
      <c r="BA195" s="72">
        <f>T195/E195</f>
        <v>488.75</v>
      </c>
      <c r="BB195" s="72">
        <f>U195/E195</f>
        <v>729.5</v>
      </c>
      <c r="BC195" s="72">
        <f>V195/E195</f>
        <v>848.75</v>
      </c>
      <c r="BD195" s="72"/>
      <c r="BE195" s="72">
        <f>X195/E195</f>
        <v>1.0943750000000001</v>
      </c>
      <c r="BF195" s="72">
        <f>Y195/E195</f>
        <v>0</v>
      </c>
      <c r="BG195" s="72">
        <f>AB195/E195</f>
        <v>162.3125</v>
      </c>
      <c r="BH195" s="84">
        <f>Z195/E195</f>
        <v>0</v>
      </c>
      <c r="BI195" s="72"/>
      <c r="BJ195" s="72">
        <f t="shared" si="48"/>
        <v>2492.4693750000001</v>
      </c>
    </row>
    <row r="196" spans="1:62" ht="18.75">
      <c r="A196" s="36">
        <v>45742</v>
      </c>
      <c r="B196" s="37" t="s">
        <v>113</v>
      </c>
      <c r="C196" s="72"/>
      <c r="D196" s="39" t="s">
        <v>40</v>
      </c>
      <c r="E196" s="66">
        <v>5</v>
      </c>
      <c r="F196" s="73"/>
      <c r="G196" s="37" t="s">
        <v>114</v>
      </c>
      <c r="H196" s="42">
        <v>6300</v>
      </c>
      <c r="I196" s="72">
        <f t="shared" si="39"/>
        <v>4079.8349000000003</v>
      </c>
      <c r="J196" s="74">
        <f t="shared" si="40"/>
        <v>3333.3407133333335</v>
      </c>
      <c r="K196" s="74">
        <f t="shared" si="41"/>
        <v>2220.1650999999997</v>
      </c>
      <c r="L196" s="74">
        <f t="shared" si="42"/>
        <v>2966.6592866666665</v>
      </c>
      <c r="M196" s="74">
        <f t="shared" si="43"/>
        <v>0.52910170052910055</v>
      </c>
      <c r="N196" s="74">
        <f t="shared" si="44"/>
        <v>0.64759284126984129</v>
      </c>
      <c r="O196" s="75">
        <f t="shared" si="45"/>
        <v>0.22394776017965895</v>
      </c>
      <c r="P196" s="71">
        <v>1002.3333333333334</v>
      </c>
      <c r="Q196" s="71">
        <v>604</v>
      </c>
      <c r="R196" s="71">
        <v>0</v>
      </c>
      <c r="S196" s="71">
        <v>0</v>
      </c>
      <c r="T196" s="71">
        <v>2519.3333333333335</v>
      </c>
      <c r="U196" s="71">
        <v>3772</v>
      </c>
      <c r="V196" s="71">
        <v>3731</v>
      </c>
      <c r="W196" s="71">
        <v>0</v>
      </c>
      <c r="X196" s="71">
        <v>6.1033333333333326</v>
      </c>
      <c r="Y196" s="71">
        <v>0</v>
      </c>
      <c r="Z196" s="71">
        <v>0</v>
      </c>
      <c r="AA196" s="71">
        <v>0</v>
      </c>
      <c r="AB196" s="71">
        <v>856</v>
      </c>
      <c r="AC196" s="76">
        <f>IFERROR(AD196/E196,0)</f>
        <v>3333.3407133333335</v>
      </c>
      <c r="AD196" s="77">
        <f t="shared" si="49"/>
        <v>16666.703566666667</v>
      </c>
      <c r="AE196" s="50">
        <v>410</v>
      </c>
      <c r="AF196" s="78"/>
      <c r="AG196" s="50">
        <v>0</v>
      </c>
      <c r="AH196" s="79"/>
      <c r="AI196" s="50">
        <v>490</v>
      </c>
      <c r="AJ196" s="50">
        <v>745</v>
      </c>
      <c r="AK196" s="50">
        <f>360+350</f>
        <v>710</v>
      </c>
      <c r="AL196" s="76"/>
      <c r="AM196" s="72"/>
      <c r="AN196" s="52"/>
      <c r="AO196" s="50">
        <v>2.87</v>
      </c>
      <c r="AP196" s="76"/>
      <c r="AQ196" s="52">
        <v>160</v>
      </c>
      <c r="AR196" s="82">
        <f t="shared" si="50"/>
        <v>4079.8349000000003</v>
      </c>
      <c r="AS196" s="83">
        <f>AR196*E196</f>
        <v>20399.174500000001</v>
      </c>
      <c r="AT196" s="74">
        <f t="shared" si="51"/>
        <v>746.49418666666679</v>
      </c>
      <c r="AU196" s="73">
        <f>IFERROR(AT196*E196,0)</f>
        <v>3732.470933333334</v>
      </c>
      <c r="AV196" s="72" t="str">
        <f>D196</f>
        <v>M25</v>
      </c>
      <c r="AW196" s="72">
        <f>P196/E196</f>
        <v>200.46666666666667</v>
      </c>
      <c r="AX196" s="72">
        <f>Q196/E196</f>
        <v>120.8</v>
      </c>
      <c r="AY196" s="72">
        <f>R196/E196</f>
        <v>0</v>
      </c>
      <c r="AZ196" s="72">
        <f>S196/E196</f>
        <v>0</v>
      </c>
      <c r="BA196" s="72">
        <f>T196/E196</f>
        <v>503.86666666666667</v>
      </c>
      <c r="BB196" s="72">
        <f>U196/E196</f>
        <v>754.4</v>
      </c>
      <c r="BC196" s="72">
        <f>V196/E196</f>
        <v>746.2</v>
      </c>
      <c r="BD196" s="72"/>
      <c r="BE196" s="72">
        <f>X196/E196</f>
        <v>1.2206666666666666</v>
      </c>
      <c r="BF196" s="72">
        <f>Y196/E196</f>
        <v>0</v>
      </c>
      <c r="BG196" s="72">
        <f>AB196/E196</f>
        <v>171.2</v>
      </c>
      <c r="BH196" s="84">
        <f>Z196/E196</f>
        <v>0</v>
      </c>
      <c r="BI196" s="72"/>
      <c r="BJ196" s="72">
        <f t="shared" si="48"/>
        <v>2498.154</v>
      </c>
    </row>
    <row r="197" spans="1:62" ht="18.75">
      <c r="A197" s="36">
        <v>45742</v>
      </c>
      <c r="B197" s="37" t="s">
        <v>62</v>
      </c>
      <c r="C197" s="72"/>
      <c r="D197" s="39" t="s">
        <v>40</v>
      </c>
      <c r="E197" s="66">
        <v>7</v>
      </c>
      <c r="F197" s="73"/>
      <c r="G197" s="37" t="s">
        <v>41</v>
      </c>
      <c r="H197" s="42">
        <v>5900</v>
      </c>
      <c r="I197" s="72">
        <f t="shared" si="39"/>
        <v>3452.0828000000001</v>
      </c>
      <c r="J197" s="74">
        <f t="shared" si="40"/>
        <v>3333.3407133333335</v>
      </c>
      <c r="K197" s="74">
        <f t="shared" si="41"/>
        <v>2447.9171999999999</v>
      </c>
      <c r="L197" s="74">
        <f t="shared" si="42"/>
        <v>2566.6592866666665</v>
      </c>
      <c r="M197" s="74">
        <f t="shared" si="43"/>
        <v>0.564973002259887</v>
      </c>
      <c r="N197" s="74">
        <f t="shared" si="44"/>
        <v>0.58509877966101698</v>
      </c>
      <c r="O197" s="75">
        <f t="shared" si="45"/>
        <v>3.5622547131680705E-2</v>
      </c>
      <c r="P197" s="71">
        <v>1403.2666666666667</v>
      </c>
      <c r="Q197" s="71">
        <v>845.6</v>
      </c>
      <c r="R197" s="71">
        <v>0</v>
      </c>
      <c r="S197" s="71">
        <v>0</v>
      </c>
      <c r="T197" s="71">
        <v>3527.0666666666666</v>
      </c>
      <c r="U197" s="71">
        <v>5280.8</v>
      </c>
      <c r="V197" s="71">
        <v>5223.4000000000005</v>
      </c>
      <c r="W197" s="71">
        <v>0</v>
      </c>
      <c r="X197" s="71">
        <v>8.5446666666666662</v>
      </c>
      <c r="Y197" s="71">
        <v>0</v>
      </c>
      <c r="Z197" s="71">
        <v>0</v>
      </c>
      <c r="AA197" s="71">
        <v>0</v>
      </c>
      <c r="AB197" s="71">
        <v>1198.3999999999999</v>
      </c>
      <c r="AC197" s="76">
        <f>IFERROR(AD197/E197,0)</f>
        <v>3333.3407133333335</v>
      </c>
      <c r="AD197" s="77">
        <f t="shared" si="49"/>
        <v>23333.384993333333</v>
      </c>
      <c r="AE197" s="48">
        <v>224</v>
      </c>
      <c r="AF197" s="78"/>
      <c r="AG197" s="50">
        <v>96</v>
      </c>
      <c r="AH197" s="79"/>
      <c r="AI197" s="50">
        <v>495</v>
      </c>
      <c r="AJ197" s="50">
        <v>740</v>
      </c>
      <c r="AK197" s="50">
        <v>800</v>
      </c>
      <c r="AL197" s="76"/>
      <c r="AM197" s="72"/>
      <c r="AN197" s="52"/>
      <c r="AO197" s="50">
        <v>2.2400000000000002</v>
      </c>
      <c r="AP197" s="76"/>
      <c r="AQ197" s="52">
        <v>155</v>
      </c>
      <c r="AR197" s="82">
        <f t="shared" si="50"/>
        <v>3452.0828000000001</v>
      </c>
      <c r="AS197" s="83">
        <f>AR197*E197</f>
        <v>24164.579600000001</v>
      </c>
      <c r="AT197" s="74">
        <f t="shared" si="51"/>
        <v>118.74208666666664</v>
      </c>
      <c r="AU197" s="73">
        <f>IFERROR(AT197*E197,0)</f>
        <v>831.19460666666646</v>
      </c>
      <c r="AV197" s="72" t="str">
        <f>D197</f>
        <v>M25</v>
      </c>
      <c r="AW197" s="72">
        <f>P197/E197</f>
        <v>200.46666666666667</v>
      </c>
      <c r="AX197" s="72">
        <f>Q197/E197</f>
        <v>120.8</v>
      </c>
      <c r="AY197" s="72">
        <f>R197/E197</f>
        <v>0</v>
      </c>
      <c r="AZ197" s="72">
        <f>S197/E197</f>
        <v>0</v>
      </c>
      <c r="BA197" s="72">
        <f>T197/E197</f>
        <v>503.86666666666667</v>
      </c>
      <c r="BB197" s="72">
        <f>U197/E197</f>
        <v>754.4</v>
      </c>
      <c r="BC197" s="72">
        <f>V197/E197</f>
        <v>746.2</v>
      </c>
      <c r="BD197" s="72"/>
      <c r="BE197" s="72">
        <f>X197/E197</f>
        <v>1.2206666666666666</v>
      </c>
      <c r="BF197" s="72">
        <f>Y197/E197</f>
        <v>0</v>
      </c>
      <c r="BG197" s="72">
        <f>AB197/E197</f>
        <v>171.2</v>
      </c>
      <c r="BH197" s="84">
        <f>Z197/E197</f>
        <v>0</v>
      </c>
      <c r="BI197" s="72"/>
      <c r="BJ197" s="72">
        <f t="shared" si="48"/>
        <v>2498.154</v>
      </c>
    </row>
    <row r="198" spans="1:62" ht="18.75">
      <c r="A198" s="36">
        <v>45742</v>
      </c>
      <c r="B198" s="37" t="s">
        <v>45</v>
      </c>
      <c r="C198" s="72"/>
      <c r="D198" s="39" t="s">
        <v>43</v>
      </c>
      <c r="E198" s="66">
        <v>3</v>
      </c>
      <c r="F198" s="73"/>
      <c r="G198" s="37" t="s">
        <v>46</v>
      </c>
      <c r="H198" s="42">
        <v>6000</v>
      </c>
      <c r="I198" s="72">
        <f t="shared" si="39"/>
        <v>4033.4050000000002</v>
      </c>
      <c r="J198" s="74">
        <f t="shared" si="40"/>
        <v>3333.3407133333335</v>
      </c>
      <c r="K198" s="74">
        <f t="shared" si="41"/>
        <v>1966.5949999999998</v>
      </c>
      <c r="L198" s="74">
        <f t="shared" si="42"/>
        <v>2666.6592866666665</v>
      </c>
      <c r="M198" s="74">
        <f t="shared" si="43"/>
        <v>0.55555678555555554</v>
      </c>
      <c r="N198" s="74">
        <f t="shared" si="44"/>
        <v>0.67223416666666669</v>
      </c>
      <c r="O198" s="75">
        <f t="shared" si="45"/>
        <v>0.21001882101833033</v>
      </c>
      <c r="P198" s="71">
        <v>601.4</v>
      </c>
      <c r="Q198" s="71">
        <v>362.4</v>
      </c>
      <c r="R198" s="71">
        <v>0</v>
      </c>
      <c r="S198" s="71">
        <v>0</v>
      </c>
      <c r="T198" s="71">
        <v>1511.6</v>
      </c>
      <c r="U198" s="71">
        <v>2263.1999999999998</v>
      </c>
      <c r="V198" s="71">
        <v>2238.6000000000004</v>
      </c>
      <c r="W198" s="71">
        <v>0</v>
      </c>
      <c r="X198" s="71">
        <v>3.6619999999999999</v>
      </c>
      <c r="Y198" s="71">
        <v>0</v>
      </c>
      <c r="Z198" s="71">
        <v>0</v>
      </c>
      <c r="AA198" s="71">
        <v>0</v>
      </c>
      <c r="AB198" s="71">
        <v>513.59999999999991</v>
      </c>
      <c r="AC198" s="76">
        <f>IFERROR(AD198/E198,0)</f>
        <v>3333.3407133333335</v>
      </c>
      <c r="AD198" s="77">
        <f t="shared" si="49"/>
        <v>10000.022140000001</v>
      </c>
      <c r="AE198" s="48">
        <v>380</v>
      </c>
      <c r="AF198" s="78"/>
      <c r="AG198" s="50">
        <v>0</v>
      </c>
      <c r="AH198" s="79"/>
      <c r="AI198" s="50">
        <v>495</v>
      </c>
      <c r="AJ198" s="50">
        <v>745</v>
      </c>
      <c r="AK198" s="50">
        <f>380+380</f>
        <v>760</v>
      </c>
      <c r="AL198" s="76"/>
      <c r="AM198" s="72"/>
      <c r="AN198" s="52">
        <v>2.4700000000000002</v>
      </c>
      <c r="AO198" s="50"/>
      <c r="AP198" s="76"/>
      <c r="AQ198" s="52">
        <v>144</v>
      </c>
      <c r="AR198" s="82">
        <f t="shared" si="50"/>
        <v>4033.4050000000002</v>
      </c>
      <c r="AS198" s="83">
        <f>AR198*E198</f>
        <v>12100.215</v>
      </c>
      <c r="AT198" s="74">
        <f t="shared" si="51"/>
        <v>700.0642866666667</v>
      </c>
      <c r="AU198" s="73">
        <f>IFERROR(AT198*E198,0)</f>
        <v>2100.1928600000001</v>
      </c>
      <c r="AV198" s="72" t="str">
        <f>D198</f>
        <v>M30</v>
      </c>
      <c r="AW198" s="72">
        <f>P198/E198</f>
        <v>200.46666666666667</v>
      </c>
      <c r="AX198" s="72">
        <f>Q198/E198</f>
        <v>120.8</v>
      </c>
      <c r="AY198" s="72">
        <f>R198/E198</f>
        <v>0</v>
      </c>
      <c r="AZ198" s="72">
        <f>S198/E198</f>
        <v>0</v>
      </c>
      <c r="BA198" s="72">
        <f>T198/E198</f>
        <v>503.86666666666662</v>
      </c>
      <c r="BB198" s="72">
        <f>U198/E198</f>
        <v>754.4</v>
      </c>
      <c r="BC198" s="72">
        <f>V198/E198</f>
        <v>746.20000000000016</v>
      </c>
      <c r="BD198" s="72"/>
      <c r="BE198" s="72">
        <f>X198/E198</f>
        <v>1.2206666666666666</v>
      </c>
      <c r="BF198" s="72">
        <f>Y198/E198</f>
        <v>0</v>
      </c>
      <c r="BG198" s="72">
        <f>AB198/E198</f>
        <v>171.19999999999996</v>
      </c>
      <c r="BH198" s="84">
        <f>Z198/E198</f>
        <v>0</v>
      </c>
      <c r="BI198" s="72"/>
      <c r="BJ198" s="72">
        <f t="shared" si="48"/>
        <v>2498.154</v>
      </c>
    </row>
    <row r="199" spans="1:62" ht="18.75">
      <c r="A199" s="36">
        <v>45742</v>
      </c>
      <c r="B199" s="37" t="s">
        <v>45</v>
      </c>
      <c r="C199" s="72"/>
      <c r="D199" s="39" t="s">
        <v>43</v>
      </c>
      <c r="E199" s="66">
        <v>8</v>
      </c>
      <c r="F199" s="73"/>
      <c r="G199" s="37" t="s">
        <v>46</v>
      </c>
      <c r="H199" s="42">
        <v>6000</v>
      </c>
      <c r="I199" s="72">
        <f t="shared" si="39"/>
        <v>4033.4050000000002</v>
      </c>
      <c r="J199" s="74">
        <f t="shared" si="40"/>
        <v>3702.356957142857</v>
      </c>
      <c r="K199" s="74">
        <f t="shared" si="41"/>
        <v>1966.5949999999998</v>
      </c>
      <c r="L199" s="74">
        <f t="shared" si="42"/>
        <v>2297.643042857143</v>
      </c>
      <c r="M199" s="74">
        <f t="shared" si="43"/>
        <v>0.61705949285714279</v>
      </c>
      <c r="N199" s="74">
        <f t="shared" si="44"/>
        <v>0.67223416666666669</v>
      </c>
      <c r="O199" s="75">
        <f t="shared" si="45"/>
        <v>8.9415484970583783E-2</v>
      </c>
      <c r="P199" s="71">
        <v>2406.8571428571427</v>
      </c>
      <c r="Q199" s="71">
        <v>651.42857142857144</v>
      </c>
      <c r="R199" s="71">
        <v>0</v>
      </c>
      <c r="S199" s="71">
        <v>0</v>
      </c>
      <c r="T199" s="71">
        <v>3986.2857142857142</v>
      </c>
      <c r="U199" s="71">
        <v>5946.2857142857147</v>
      </c>
      <c r="V199" s="71">
        <v>5552</v>
      </c>
      <c r="W199" s="71">
        <v>0</v>
      </c>
      <c r="X199" s="71">
        <v>14.411428571428571</v>
      </c>
      <c r="Y199" s="71">
        <v>0</v>
      </c>
      <c r="Z199" s="71">
        <v>0</v>
      </c>
      <c r="AA199" s="71">
        <v>0</v>
      </c>
      <c r="AB199" s="71">
        <v>1408</v>
      </c>
      <c r="AC199" s="76">
        <f>IFERROR(AD199/E199,0)</f>
        <v>3702.356957142857</v>
      </c>
      <c r="AD199" s="77">
        <f t="shared" si="49"/>
        <v>29618.855657142856</v>
      </c>
      <c r="AE199" s="48">
        <v>380</v>
      </c>
      <c r="AF199" s="78"/>
      <c r="AG199" s="50">
        <v>0</v>
      </c>
      <c r="AH199" s="79"/>
      <c r="AI199" s="50">
        <v>495</v>
      </c>
      <c r="AJ199" s="50">
        <v>745</v>
      </c>
      <c r="AK199" s="50">
        <f>380+380</f>
        <v>760</v>
      </c>
      <c r="AL199" s="76"/>
      <c r="AM199" s="72"/>
      <c r="AN199" s="52">
        <v>2.4700000000000002</v>
      </c>
      <c r="AO199" s="50"/>
      <c r="AP199" s="76"/>
      <c r="AQ199" s="52">
        <v>144</v>
      </c>
      <c r="AR199" s="82">
        <f t="shared" si="50"/>
        <v>4033.4050000000002</v>
      </c>
      <c r="AS199" s="83">
        <f>AR199*E199</f>
        <v>32267.24</v>
      </c>
      <c r="AT199" s="74">
        <f t="shared" si="51"/>
        <v>331.04804285714317</v>
      </c>
      <c r="AU199" s="73">
        <f>IFERROR(AT199*E199,0)</f>
        <v>2648.3843428571454</v>
      </c>
      <c r="AV199" s="72" t="str">
        <f>D199</f>
        <v>M30</v>
      </c>
      <c r="AW199" s="72">
        <f>P199/E199</f>
        <v>300.85714285714283</v>
      </c>
      <c r="AX199" s="72">
        <f>Q199/E199</f>
        <v>81.428571428571431</v>
      </c>
      <c r="AY199" s="72">
        <f>R199/E199</f>
        <v>0</v>
      </c>
      <c r="AZ199" s="72">
        <f>S199/E199</f>
        <v>0</v>
      </c>
      <c r="BA199" s="72">
        <f>T199/E199</f>
        <v>498.28571428571428</v>
      </c>
      <c r="BB199" s="72">
        <f>U199/E199</f>
        <v>743.28571428571433</v>
      </c>
      <c r="BC199" s="72">
        <f>V199/E199</f>
        <v>694</v>
      </c>
      <c r="BD199" s="72"/>
      <c r="BE199" s="72">
        <f>X199/E199</f>
        <v>1.8014285714285714</v>
      </c>
      <c r="BF199" s="72">
        <f>Y199/E199</f>
        <v>0</v>
      </c>
      <c r="BG199" s="72">
        <f>AB199/E199</f>
        <v>176</v>
      </c>
      <c r="BH199" s="84">
        <f>Z199/E199</f>
        <v>0</v>
      </c>
      <c r="BI199" s="72"/>
      <c r="BJ199" s="72">
        <f t="shared" si="48"/>
        <v>2495.6585714285716</v>
      </c>
    </row>
    <row r="200" spans="1:62" ht="18.75">
      <c r="A200" s="36">
        <v>45742</v>
      </c>
      <c r="B200" s="37" t="s">
        <v>76</v>
      </c>
      <c r="C200" s="72"/>
      <c r="D200" s="39" t="s">
        <v>43</v>
      </c>
      <c r="E200" s="40">
        <v>6.5</v>
      </c>
      <c r="F200" s="73"/>
      <c r="G200" s="37" t="s">
        <v>77</v>
      </c>
      <c r="H200" s="42">
        <v>5800</v>
      </c>
      <c r="I200" s="72">
        <f t="shared" si="39"/>
        <v>3611.0944</v>
      </c>
      <c r="J200" s="74">
        <f t="shared" si="40"/>
        <v>3501.3483692307691</v>
      </c>
      <c r="K200" s="74">
        <f t="shared" si="41"/>
        <v>2188.9056</v>
      </c>
      <c r="L200" s="74">
        <f t="shared" si="42"/>
        <v>2298.6516307692309</v>
      </c>
      <c r="M200" s="74">
        <f t="shared" si="43"/>
        <v>0.60368075331564985</v>
      </c>
      <c r="N200" s="74">
        <f t="shared" si="44"/>
        <v>0.62260248275862073</v>
      </c>
      <c r="O200" s="75">
        <f t="shared" si="45"/>
        <v>3.1343933592458219E-2</v>
      </c>
      <c r="P200" s="71">
        <v>1498</v>
      </c>
      <c r="Q200" s="71">
        <v>852</v>
      </c>
      <c r="R200" s="71"/>
      <c r="S200" s="71"/>
      <c r="T200" s="71">
        <v>3237</v>
      </c>
      <c r="U200" s="71">
        <v>4856</v>
      </c>
      <c r="V200" s="71">
        <f>2409+2276</f>
        <v>4685</v>
      </c>
      <c r="W200" s="71"/>
      <c r="X200" s="71">
        <v>10.32</v>
      </c>
      <c r="Y200" s="71"/>
      <c r="Z200" s="71"/>
      <c r="AA200" s="71"/>
      <c r="AB200" s="71">
        <v>1014</v>
      </c>
      <c r="AC200" s="76">
        <f>IFERROR(AD200/E200,0)</f>
        <v>3501.3483692307691</v>
      </c>
      <c r="AD200" s="77">
        <f t="shared" si="49"/>
        <v>22758.7644</v>
      </c>
      <c r="AE200" s="50">
        <v>252</v>
      </c>
      <c r="AF200" s="78"/>
      <c r="AG200" s="50">
        <v>108</v>
      </c>
      <c r="AH200" s="79"/>
      <c r="AI200" s="50">
        <v>525</v>
      </c>
      <c r="AJ200" s="50">
        <v>760</v>
      </c>
      <c r="AK200" s="50">
        <f t="shared" ref="AK200" si="52">350+360</f>
        <v>710</v>
      </c>
      <c r="AL200" s="76"/>
      <c r="AM200" s="72"/>
      <c r="AN200" s="52"/>
      <c r="AO200" s="50">
        <v>2.52</v>
      </c>
      <c r="AP200" s="76"/>
      <c r="AQ200" s="52">
        <v>155</v>
      </c>
      <c r="AR200" s="82">
        <f t="shared" si="50"/>
        <v>3611.0944</v>
      </c>
      <c r="AS200" s="83">
        <f>AR200*E200</f>
        <v>23472.113600000001</v>
      </c>
      <c r="AT200" s="74">
        <f t="shared" si="51"/>
        <v>109.74603076923086</v>
      </c>
      <c r="AU200" s="73">
        <f>IFERROR(AT200*E200,0)</f>
        <v>713.34920000000056</v>
      </c>
      <c r="AV200" s="72" t="str">
        <f>D200</f>
        <v>M30</v>
      </c>
      <c r="AW200" s="72">
        <f>P200/E200</f>
        <v>230.46153846153845</v>
      </c>
      <c r="AX200" s="72">
        <f>Q200/E200</f>
        <v>131.07692307692307</v>
      </c>
      <c r="AY200" s="72">
        <f>R200/E200</f>
        <v>0</v>
      </c>
      <c r="AZ200" s="72">
        <f>S200/E200</f>
        <v>0</v>
      </c>
      <c r="BA200" s="72">
        <f>T200/E200</f>
        <v>498</v>
      </c>
      <c r="BB200" s="72">
        <f>U200/E200</f>
        <v>747.07692307692309</v>
      </c>
      <c r="BC200" s="72">
        <f>V200/E200</f>
        <v>720.76923076923072</v>
      </c>
      <c r="BD200" s="72"/>
      <c r="BE200" s="72">
        <f>X200/E200</f>
        <v>1.5876923076923077</v>
      </c>
      <c r="BF200" s="72">
        <f>Y200/E200</f>
        <v>0</v>
      </c>
      <c r="BG200" s="72">
        <f>AB200/E200</f>
        <v>156</v>
      </c>
      <c r="BH200" s="84">
        <f>Z200/E200</f>
        <v>0</v>
      </c>
      <c r="BI200" s="72"/>
      <c r="BJ200" s="72">
        <f t="shared" si="48"/>
        <v>2484.9723076923074</v>
      </c>
    </row>
    <row r="201" spans="1:62" ht="18.75">
      <c r="A201" s="36">
        <v>45742</v>
      </c>
      <c r="B201" s="37" t="s">
        <v>81</v>
      </c>
      <c r="C201" s="72"/>
      <c r="D201" s="39" t="s">
        <v>43</v>
      </c>
      <c r="E201" s="66">
        <v>6</v>
      </c>
      <c r="F201" s="73"/>
      <c r="G201" s="37" t="s">
        <v>115</v>
      </c>
      <c r="H201" s="42">
        <v>5650</v>
      </c>
      <c r="I201" s="72">
        <f t="shared" si="39"/>
        <v>3766.795000000001</v>
      </c>
      <c r="J201" s="74">
        <f t="shared" si="40"/>
        <v>3550.1700999999994</v>
      </c>
      <c r="K201" s="74">
        <f t="shared" si="41"/>
        <v>1883.204999999999</v>
      </c>
      <c r="L201" s="74">
        <f t="shared" si="42"/>
        <v>2099.8299000000006</v>
      </c>
      <c r="M201" s="74">
        <f t="shared" si="43"/>
        <v>0.62834869026548656</v>
      </c>
      <c r="N201" s="74">
        <f t="shared" si="44"/>
        <v>0.6666893805309736</v>
      </c>
      <c r="O201" s="75">
        <f t="shared" si="45"/>
        <v>6.1018174875621251E-2</v>
      </c>
      <c r="P201" s="71">
        <v>1382</v>
      </c>
      <c r="Q201" s="71">
        <v>903</v>
      </c>
      <c r="R201" s="71"/>
      <c r="S201" s="71"/>
      <c r="T201" s="71">
        <v>2849</v>
      </c>
      <c r="U201" s="71">
        <v>4417</v>
      </c>
      <c r="V201" s="71">
        <f>2226+2150</f>
        <v>4376</v>
      </c>
      <c r="W201" s="71"/>
      <c r="X201" s="71">
        <v>11.38</v>
      </c>
      <c r="Y201" s="71"/>
      <c r="Z201" s="71"/>
      <c r="AA201" s="71"/>
      <c r="AB201" s="71">
        <v>924</v>
      </c>
      <c r="AC201" s="76">
        <f>IFERROR(AD201/E201,0)</f>
        <v>3550.1700999999994</v>
      </c>
      <c r="AD201" s="77">
        <f t="shared" si="49"/>
        <v>21301.020599999996</v>
      </c>
      <c r="AE201" s="50">
        <v>270</v>
      </c>
      <c r="AF201" s="78"/>
      <c r="AG201" s="50">
        <v>110</v>
      </c>
      <c r="AH201" s="79"/>
      <c r="AI201" s="50">
        <v>500</v>
      </c>
      <c r="AJ201" s="50">
        <v>755</v>
      </c>
      <c r="AK201" s="50">
        <f>355+360</f>
        <v>715</v>
      </c>
      <c r="AL201" s="76"/>
      <c r="AM201" s="72"/>
      <c r="AN201" s="52">
        <v>2.4700000000000002</v>
      </c>
      <c r="AO201" s="50"/>
      <c r="AP201" s="76"/>
      <c r="AQ201" s="52">
        <v>160</v>
      </c>
      <c r="AR201" s="82">
        <f t="shared" si="50"/>
        <v>3766.795000000001</v>
      </c>
      <c r="AS201" s="83">
        <f>AR201*E201</f>
        <v>22600.770000000004</v>
      </c>
      <c r="AT201" s="74">
        <f t="shared" si="51"/>
        <v>216.62490000000162</v>
      </c>
      <c r="AU201" s="73">
        <f>IFERROR(AT201*E201,0)</f>
        <v>1299.7494000000097</v>
      </c>
      <c r="AV201" s="72" t="str">
        <f>D201</f>
        <v>M30</v>
      </c>
      <c r="AW201" s="72">
        <f>P201/E201</f>
        <v>230.33333333333334</v>
      </c>
      <c r="AX201" s="72">
        <f>Q201/E201</f>
        <v>150.5</v>
      </c>
      <c r="AY201" s="72">
        <f>R201/E201</f>
        <v>0</v>
      </c>
      <c r="AZ201" s="72">
        <f>S201/E201</f>
        <v>0</v>
      </c>
      <c r="BA201" s="72">
        <f>T201/E201</f>
        <v>474.83333333333331</v>
      </c>
      <c r="BB201" s="72">
        <f>U201/E201</f>
        <v>736.16666666666663</v>
      </c>
      <c r="BC201" s="72">
        <f>V201/E201</f>
        <v>729.33333333333337</v>
      </c>
      <c r="BD201" s="72"/>
      <c r="BE201" s="72">
        <f>X201/E201</f>
        <v>1.8966666666666667</v>
      </c>
      <c r="BF201" s="72">
        <f>Y201/E201</f>
        <v>0</v>
      </c>
      <c r="BG201" s="72">
        <f>AB201/E201</f>
        <v>154</v>
      </c>
      <c r="BH201" s="84">
        <f>Z201/E201</f>
        <v>0</v>
      </c>
      <c r="BI201" s="72"/>
      <c r="BJ201" s="72">
        <f t="shared" si="48"/>
        <v>2477.0633333333335</v>
      </c>
    </row>
    <row r="202" spans="1:62" ht="18.75">
      <c r="A202" s="36">
        <v>45742</v>
      </c>
      <c r="B202" s="37" t="s">
        <v>81</v>
      </c>
      <c r="C202" s="72"/>
      <c r="D202" s="39" t="s">
        <v>43</v>
      </c>
      <c r="E202" s="66">
        <v>3</v>
      </c>
      <c r="F202" s="73"/>
      <c r="G202" s="37" t="s">
        <v>115</v>
      </c>
      <c r="H202" s="42">
        <v>5650</v>
      </c>
      <c r="I202" s="72">
        <f t="shared" si="39"/>
        <v>3766.795000000001</v>
      </c>
      <c r="J202" s="74">
        <f t="shared" si="40"/>
        <v>3549.5238000000004</v>
      </c>
      <c r="K202" s="74">
        <f t="shared" si="41"/>
        <v>1883.204999999999</v>
      </c>
      <c r="L202" s="74">
        <f t="shared" si="42"/>
        <v>2100.4761999999996</v>
      </c>
      <c r="M202" s="74">
        <f t="shared" si="43"/>
        <v>0.6282343008849558</v>
      </c>
      <c r="N202" s="74">
        <f t="shared" si="44"/>
        <v>0.6666893805309736</v>
      </c>
      <c r="O202" s="75">
        <f t="shared" si="45"/>
        <v>6.1211365873923861E-2</v>
      </c>
      <c r="P202" s="71">
        <v>753</v>
      </c>
      <c r="Q202" s="71">
        <v>333</v>
      </c>
      <c r="R202" s="71">
        <v>0</v>
      </c>
      <c r="S202" s="71">
        <v>0</v>
      </c>
      <c r="T202" s="71">
        <v>1481</v>
      </c>
      <c r="U202" s="71">
        <v>2224.5</v>
      </c>
      <c r="V202" s="71">
        <v>2142</v>
      </c>
      <c r="W202" s="71">
        <v>0</v>
      </c>
      <c r="X202" s="71">
        <v>5.77</v>
      </c>
      <c r="Y202" s="71">
        <v>0</v>
      </c>
      <c r="Z202" s="71">
        <v>0</v>
      </c>
      <c r="AA202" s="71">
        <v>0</v>
      </c>
      <c r="AB202" s="71">
        <v>542</v>
      </c>
      <c r="AC202" s="76">
        <f>IFERROR(AD202/E202,0)</f>
        <v>3549.5238000000004</v>
      </c>
      <c r="AD202" s="77">
        <f t="shared" si="49"/>
        <v>10648.571400000001</v>
      </c>
      <c r="AE202" s="50">
        <v>270</v>
      </c>
      <c r="AF202" s="78"/>
      <c r="AG202" s="50">
        <v>110</v>
      </c>
      <c r="AH202" s="79"/>
      <c r="AI202" s="50">
        <v>500</v>
      </c>
      <c r="AJ202" s="50">
        <v>755</v>
      </c>
      <c r="AK202" s="50">
        <f>355+360</f>
        <v>715</v>
      </c>
      <c r="AL202" s="76"/>
      <c r="AM202" s="72"/>
      <c r="AN202" s="52">
        <v>2.4700000000000002</v>
      </c>
      <c r="AO202" s="50"/>
      <c r="AP202" s="76"/>
      <c r="AQ202" s="52">
        <v>160</v>
      </c>
      <c r="AR202" s="82">
        <f t="shared" si="50"/>
        <v>3766.795000000001</v>
      </c>
      <c r="AS202" s="83">
        <f>AR202*E202</f>
        <v>11300.385000000002</v>
      </c>
      <c r="AT202" s="74">
        <f t="shared" si="51"/>
        <v>217.27120000000059</v>
      </c>
      <c r="AU202" s="73">
        <f>IFERROR(AT202*E202,0)</f>
        <v>651.81360000000177</v>
      </c>
      <c r="AV202" s="72" t="str">
        <f>D202</f>
        <v>M30</v>
      </c>
      <c r="AW202" s="72">
        <f>P202/E202</f>
        <v>251</v>
      </c>
      <c r="AX202" s="72">
        <f>Q202/E202</f>
        <v>111</v>
      </c>
      <c r="AY202" s="72">
        <f>R202/E202</f>
        <v>0</v>
      </c>
      <c r="AZ202" s="72">
        <f>S202/E202</f>
        <v>0</v>
      </c>
      <c r="BA202" s="72">
        <f>T202/E202</f>
        <v>493.66666666666669</v>
      </c>
      <c r="BB202" s="72">
        <f>U202/E202</f>
        <v>741.5</v>
      </c>
      <c r="BC202" s="72">
        <f>V202/E202</f>
        <v>714</v>
      </c>
      <c r="BD202" s="72"/>
      <c r="BE202" s="72">
        <f>X202/E202</f>
        <v>1.9233333333333331</v>
      </c>
      <c r="BF202" s="72">
        <f>Y202/E202</f>
        <v>0</v>
      </c>
      <c r="BG202" s="72">
        <f>AB202/E202</f>
        <v>180.66666666666666</v>
      </c>
      <c r="BH202" s="84">
        <f>Z202/E202</f>
        <v>0</v>
      </c>
      <c r="BI202" s="72"/>
      <c r="BJ202" s="72">
        <f t="shared" si="48"/>
        <v>2493.7566666666667</v>
      </c>
    </row>
    <row r="203" spans="1:62" ht="18.75">
      <c r="A203" s="36">
        <v>45742</v>
      </c>
      <c r="B203" s="37" t="s">
        <v>84</v>
      </c>
      <c r="C203" s="72"/>
      <c r="D203" s="39" t="s">
        <v>43</v>
      </c>
      <c r="E203" s="66">
        <v>3</v>
      </c>
      <c r="F203" s="73"/>
      <c r="G203" s="37" t="s">
        <v>44</v>
      </c>
      <c r="H203" s="42">
        <v>5465</v>
      </c>
      <c r="I203" s="72">
        <f t="shared" si="39"/>
        <v>3627.3514</v>
      </c>
      <c r="J203" s="74">
        <f t="shared" si="40"/>
        <v>3549.5238000000004</v>
      </c>
      <c r="K203" s="74">
        <f t="shared" si="41"/>
        <v>1837.6486</v>
      </c>
      <c r="L203" s="74">
        <f t="shared" si="42"/>
        <v>1915.4761999999996</v>
      </c>
      <c r="M203" s="74">
        <f t="shared" si="43"/>
        <v>0.64950115279048493</v>
      </c>
      <c r="N203" s="74">
        <f t="shared" si="44"/>
        <v>0.66374225068618486</v>
      </c>
      <c r="O203" s="75">
        <f t="shared" si="45"/>
        <v>2.1926208805812253E-2</v>
      </c>
      <c r="P203" s="71">
        <v>753</v>
      </c>
      <c r="Q203" s="71">
        <v>333</v>
      </c>
      <c r="R203" s="71">
        <v>0</v>
      </c>
      <c r="S203" s="71">
        <v>0</v>
      </c>
      <c r="T203" s="71">
        <v>1481</v>
      </c>
      <c r="U203" s="71">
        <v>2224.5</v>
      </c>
      <c r="V203" s="71">
        <v>2142</v>
      </c>
      <c r="W203" s="71">
        <v>0</v>
      </c>
      <c r="X203" s="71">
        <v>5.77</v>
      </c>
      <c r="Y203" s="71">
        <v>0</v>
      </c>
      <c r="Z203" s="71">
        <v>0</v>
      </c>
      <c r="AA203" s="71">
        <v>0</v>
      </c>
      <c r="AB203" s="71">
        <v>542</v>
      </c>
      <c r="AC203" s="76">
        <f>IFERROR(AD203/E203,0)</f>
        <v>3549.5238000000004</v>
      </c>
      <c r="AD203" s="77">
        <f t="shared" si="49"/>
        <v>10648.571400000001</v>
      </c>
      <c r="AE203" s="48">
        <v>252</v>
      </c>
      <c r="AF203" s="78"/>
      <c r="AG203" s="50">
        <v>108</v>
      </c>
      <c r="AH203" s="79"/>
      <c r="AI203" s="50">
        <v>495</v>
      </c>
      <c r="AJ203" s="50">
        <v>743</v>
      </c>
      <c r="AK203" s="50">
        <f>300+475</f>
        <v>775</v>
      </c>
      <c r="AL203" s="76"/>
      <c r="AM203" s="72"/>
      <c r="AN203" s="52"/>
      <c r="AO203" s="50">
        <v>2.52</v>
      </c>
      <c r="AP203" s="76"/>
      <c r="AQ203" s="52">
        <v>150</v>
      </c>
      <c r="AR203" s="82">
        <f t="shared" si="50"/>
        <v>3627.3514</v>
      </c>
      <c r="AS203" s="83">
        <f>AR203*E203</f>
        <v>10882.0542</v>
      </c>
      <c r="AT203" s="74">
        <f t="shared" si="51"/>
        <v>77.82759999999962</v>
      </c>
      <c r="AU203" s="73">
        <f>IFERROR(AT203*E203,0)</f>
        <v>233.48279999999886</v>
      </c>
      <c r="AV203" s="72" t="str">
        <f>D203</f>
        <v>M30</v>
      </c>
      <c r="AW203" s="72">
        <f>P203/E203</f>
        <v>251</v>
      </c>
      <c r="AX203" s="72">
        <f>Q203/E203</f>
        <v>111</v>
      </c>
      <c r="AY203" s="72">
        <f>R203/E203</f>
        <v>0</v>
      </c>
      <c r="AZ203" s="72">
        <f>S203/E203</f>
        <v>0</v>
      </c>
      <c r="BA203" s="72">
        <f>T203/E203</f>
        <v>493.66666666666669</v>
      </c>
      <c r="BB203" s="72">
        <f>U203/E203</f>
        <v>741.5</v>
      </c>
      <c r="BC203" s="72">
        <f>V203/E203</f>
        <v>714</v>
      </c>
      <c r="BD203" s="72"/>
      <c r="BE203" s="72">
        <f>X203/E203</f>
        <v>1.9233333333333331</v>
      </c>
      <c r="BF203" s="72">
        <f>Y203/E203</f>
        <v>0</v>
      </c>
      <c r="BG203" s="72">
        <f>AB203/E203</f>
        <v>180.66666666666666</v>
      </c>
      <c r="BH203" s="84">
        <f>Z203/E203</f>
        <v>0</v>
      </c>
      <c r="BI203" s="72"/>
      <c r="BJ203" s="72">
        <f t="shared" si="48"/>
        <v>2493.7566666666667</v>
      </c>
    </row>
    <row r="204" spans="1:62" ht="18.75">
      <c r="A204" s="36">
        <v>45742</v>
      </c>
      <c r="B204" s="37" t="s">
        <v>47</v>
      </c>
      <c r="C204" s="72"/>
      <c r="D204" s="39" t="s">
        <v>48</v>
      </c>
      <c r="E204" s="66">
        <v>3</v>
      </c>
      <c r="F204" s="73"/>
      <c r="G204" s="37" t="s">
        <v>49</v>
      </c>
      <c r="H204" s="42">
        <v>6600</v>
      </c>
      <c r="I204" s="72">
        <f t="shared" si="39"/>
        <v>4390.09</v>
      </c>
      <c r="J204" s="74">
        <f t="shared" si="40"/>
        <v>4249.6150000000007</v>
      </c>
      <c r="K204" s="74">
        <f t="shared" si="41"/>
        <v>2209.91</v>
      </c>
      <c r="L204" s="74">
        <f t="shared" si="42"/>
        <v>2350.3849999999993</v>
      </c>
      <c r="M204" s="74">
        <f t="shared" si="43"/>
        <v>0.64388106060606076</v>
      </c>
      <c r="N204" s="74">
        <f t="shared" si="44"/>
        <v>0.66516515151515154</v>
      </c>
      <c r="O204" s="75">
        <f t="shared" si="45"/>
        <v>3.3055935655347396E-2</v>
      </c>
      <c r="P204" s="71">
        <v>1139</v>
      </c>
      <c r="Q204" s="71">
        <v>365</v>
      </c>
      <c r="R204" s="71"/>
      <c r="S204" s="71"/>
      <c r="T204" s="71">
        <v>1470</v>
      </c>
      <c r="U204" s="71">
        <v>2280</v>
      </c>
      <c r="V204" s="71">
        <f>842+868</f>
        <v>1710</v>
      </c>
      <c r="W204" s="71"/>
      <c r="X204" s="71"/>
      <c r="Y204" s="71">
        <v>8.1999999999999993</v>
      </c>
      <c r="Z204" s="71"/>
      <c r="AA204" s="71"/>
      <c r="AB204" s="71">
        <v>486</v>
      </c>
      <c r="AC204" s="76">
        <f>IFERROR(AD204/E204,0)</f>
        <v>4249.6150000000007</v>
      </c>
      <c r="AD204" s="77">
        <f t="shared" si="49"/>
        <v>12748.845000000001</v>
      </c>
      <c r="AE204" s="48">
        <v>400</v>
      </c>
      <c r="AF204" s="78"/>
      <c r="AG204" s="50">
        <v>100</v>
      </c>
      <c r="AH204" s="79"/>
      <c r="AI204" s="50">
        <v>510</v>
      </c>
      <c r="AJ204" s="50">
        <v>750</v>
      </c>
      <c r="AK204" s="50">
        <f>295+300</f>
        <v>595</v>
      </c>
      <c r="AL204" s="76"/>
      <c r="AM204" s="72"/>
      <c r="AN204" s="52">
        <v>3.5</v>
      </c>
      <c r="AO204" s="50"/>
      <c r="AP204" s="76"/>
      <c r="AQ204" s="52">
        <v>150</v>
      </c>
      <c r="AR204" s="82">
        <f t="shared" si="50"/>
        <v>4390.09</v>
      </c>
      <c r="AS204" s="83">
        <f>AR204*E204</f>
        <v>13170.27</v>
      </c>
      <c r="AT204" s="74">
        <f t="shared" si="51"/>
        <v>140.47499999999945</v>
      </c>
      <c r="AU204" s="73">
        <f>IFERROR(AT204*E204,0)</f>
        <v>421.42499999999836</v>
      </c>
      <c r="AV204" s="72" t="str">
        <f>D204</f>
        <v>M50</v>
      </c>
      <c r="AW204" s="72">
        <f>P204/E204</f>
        <v>379.66666666666669</v>
      </c>
      <c r="AX204" s="72">
        <f>Q204/E204</f>
        <v>121.66666666666667</v>
      </c>
      <c r="AY204" s="72">
        <f>R204/E204</f>
        <v>0</v>
      </c>
      <c r="AZ204" s="72">
        <f>S204/E204</f>
        <v>0</v>
      </c>
      <c r="BA204" s="72">
        <f>T204/E204</f>
        <v>490</v>
      </c>
      <c r="BB204" s="72">
        <f>U204/E204</f>
        <v>760</v>
      </c>
      <c r="BC204" s="72">
        <f>V204/E204</f>
        <v>570</v>
      </c>
      <c r="BD204" s="72"/>
      <c r="BE204" s="72">
        <f>X204/E204</f>
        <v>0</v>
      </c>
      <c r="BF204" s="72">
        <f>Y204/E204</f>
        <v>2.7333333333333329</v>
      </c>
      <c r="BG204" s="72">
        <f>AB204/E204</f>
        <v>162</v>
      </c>
      <c r="BH204" s="84">
        <f>Z204/E204</f>
        <v>0</v>
      </c>
      <c r="BI204" s="72"/>
      <c r="BJ204" s="72">
        <f t="shared" si="48"/>
        <v>2486.0666666666666</v>
      </c>
    </row>
    <row r="205" spans="1:62" ht="18.75">
      <c r="A205" s="36">
        <v>45742</v>
      </c>
      <c r="B205" s="37" t="s">
        <v>36</v>
      </c>
      <c r="C205" s="72"/>
      <c r="D205" s="39" t="s">
        <v>43</v>
      </c>
      <c r="E205" s="66">
        <v>4</v>
      </c>
      <c r="F205" s="73"/>
      <c r="G205" s="37" t="s">
        <v>44</v>
      </c>
      <c r="H205" s="42">
        <v>5800</v>
      </c>
      <c r="I205" s="72">
        <f t="shared" si="39"/>
        <v>3627.3514</v>
      </c>
      <c r="J205" s="74">
        <f t="shared" si="40"/>
        <v>3397.638375</v>
      </c>
      <c r="K205" s="74">
        <f t="shared" si="41"/>
        <v>2172.6486</v>
      </c>
      <c r="L205" s="74">
        <f t="shared" si="42"/>
        <v>2402.361625</v>
      </c>
      <c r="M205" s="74">
        <f t="shared" si="43"/>
        <v>0.58579971982758616</v>
      </c>
      <c r="N205" s="74">
        <f t="shared" si="44"/>
        <v>0.62540541379310344</v>
      </c>
      <c r="O205" s="75">
        <f t="shared" si="45"/>
        <v>6.7609615752588795E-2</v>
      </c>
      <c r="P205" s="71">
        <f>405+440</f>
        <v>845</v>
      </c>
      <c r="Q205" s="71">
        <v>524</v>
      </c>
      <c r="R205" s="71"/>
      <c r="S205" s="71"/>
      <c r="T205" s="71">
        <v>1866</v>
      </c>
      <c r="U205" s="71">
        <v>2860</v>
      </c>
      <c r="V205" s="71">
        <f>1589+1607</f>
        <v>3196</v>
      </c>
      <c r="W205" s="71"/>
      <c r="X205" s="71">
        <v>4.75</v>
      </c>
      <c r="Y205" s="71"/>
      <c r="Z205" s="71"/>
      <c r="AA205" s="71"/>
      <c r="AB205" s="71">
        <v>672</v>
      </c>
      <c r="AC205" s="76">
        <f>IFERROR(AD205/E205,0)</f>
        <v>3397.638375</v>
      </c>
      <c r="AD205" s="77">
        <f t="shared" si="49"/>
        <v>13590.5535</v>
      </c>
      <c r="AE205" s="48">
        <v>252</v>
      </c>
      <c r="AF205" s="78"/>
      <c r="AG205" s="50">
        <v>108</v>
      </c>
      <c r="AH205" s="79"/>
      <c r="AI205" s="50">
        <v>495</v>
      </c>
      <c r="AJ205" s="50">
        <v>743</v>
      </c>
      <c r="AK205" s="50">
        <f>300+475</f>
        <v>775</v>
      </c>
      <c r="AL205" s="76"/>
      <c r="AM205" s="72"/>
      <c r="AN205" s="52"/>
      <c r="AO205" s="50">
        <v>2.52</v>
      </c>
      <c r="AP205" s="76"/>
      <c r="AQ205" s="52">
        <v>150</v>
      </c>
      <c r="AR205" s="82">
        <f t="shared" si="50"/>
        <v>3627.3514</v>
      </c>
      <c r="AS205" s="83">
        <f>AR205*E205</f>
        <v>14509.4056</v>
      </c>
      <c r="AT205" s="74">
        <f t="shared" si="51"/>
        <v>229.71302500000002</v>
      </c>
      <c r="AU205" s="73">
        <f>IFERROR(AT205*E205,0)</f>
        <v>918.85210000000006</v>
      </c>
      <c r="AV205" s="72" t="str">
        <f>D205</f>
        <v>M30</v>
      </c>
      <c r="AW205" s="72">
        <f>P205/E205</f>
        <v>211.25</v>
      </c>
      <c r="AX205" s="72">
        <f>Q205/E205</f>
        <v>131</v>
      </c>
      <c r="AY205" s="72">
        <f>R205/E205</f>
        <v>0</v>
      </c>
      <c r="AZ205" s="72">
        <f>S205/E205</f>
        <v>0</v>
      </c>
      <c r="BA205" s="72">
        <f>T205/E205</f>
        <v>466.5</v>
      </c>
      <c r="BB205" s="72">
        <f>U205/E205</f>
        <v>715</v>
      </c>
      <c r="BC205" s="72">
        <f>V205/E205</f>
        <v>799</v>
      </c>
      <c r="BD205" s="72"/>
      <c r="BE205" s="72">
        <f>X205/E205</f>
        <v>1.1875</v>
      </c>
      <c r="BF205" s="72">
        <f>Y205/E205</f>
        <v>0</v>
      </c>
      <c r="BG205" s="72">
        <f>AB205/E205</f>
        <v>168</v>
      </c>
      <c r="BH205" s="84">
        <f>Z205/E205</f>
        <v>0</v>
      </c>
      <c r="BI205" s="72"/>
      <c r="BJ205" s="72">
        <f t="shared" si="48"/>
        <v>2491.9375</v>
      </c>
    </row>
    <row r="206" spans="1:62" ht="18.75">
      <c r="A206" s="36">
        <v>45743</v>
      </c>
      <c r="B206" s="37" t="s">
        <v>62</v>
      </c>
      <c r="C206" s="72"/>
      <c r="D206" s="39" t="s">
        <v>40</v>
      </c>
      <c r="E206" s="66">
        <v>14.5</v>
      </c>
      <c r="F206" s="73"/>
      <c r="G206" s="37" t="s">
        <v>41</v>
      </c>
      <c r="H206" s="42">
        <v>5900</v>
      </c>
      <c r="I206" s="72">
        <f t="shared" si="39"/>
        <v>3452.0828000000001</v>
      </c>
      <c r="J206" s="74">
        <f t="shared" si="40"/>
        <v>3187.7797446808509</v>
      </c>
      <c r="K206" s="74">
        <f t="shared" si="41"/>
        <v>2447.9171999999999</v>
      </c>
      <c r="L206" s="74">
        <f t="shared" si="42"/>
        <v>2712.2202553191491</v>
      </c>
      <c r="M206" s="74">
        <f t="shared" si="43"/>
        <v>0.54030165164082222</v>
      </c>
      <c r="N206" s="74">
        <f t="shared" si="44"/>
        <v>0.58509877966101698</v>
      </c>
      <c r="O206" s="75">
        <f t="shared" si="45"/>
        <v>8.2911329040272236E-2</v>
      </c>
      <c r="P206" s="71">
        <v>1896.7234042553189</v>
      </c>
      <c r="Q206" s="71">
        <v>2770.4255319148938</v>
      </c>
      <c r="R206" s="71">
        <v>0</v>
      </c>
      <c r="S206" s="71">
        <v>0</v>
      </c>
      <c r="T206" s="71">
        <v>7133.3829787234035</v>
      </c>
      <c r="U206" s="71">
        <v>10649.787234042553</v>
      </c>
      <c r="V206" s="71">
        <v>11321.106382978724</v>
      </c>
      <c r="W206" s="71">
        <v>0</v>
      </c>
      <c r="X206" s="71">
        <v>18.51063829787234</v>
      </c>
      <c r="Y206" s="71">
        <v>0</v>
      </c>
      <c r="Z206" s="71">
        <v>0</v>
      </c>
      <c r="AA206" s="71">
        <v>0</v>
      </c>
      <c r="AB206" s="71">
        <v>2465</v>
      </c>
      <c r="AC206" s="76">
        <f>IFERROR(AD206/E206,0)</f>
        <v>3187.7797446808509</v>
      </c>
      <c r="AD206" s="77">
        <f t="shared" si="49"/>
        <v>46222.806297872339</v>
      </c>
      <c r="AE206" s="48">
        <v>224</v>
      </c>
      <c r="AF206" s="78"/>
      <c r="AG206" s="50">
        <v>96</v>
      </c>
      <c r="AH206" s="79"/>
      <c r="AI206" s="50">
        <v>495</v>
      </c>
      <c r="AJ206" s="50">
        <v>740</v>
      </c>
      <c r="AK206" s="50">
        <v>800</v>
      </c>
      <c r="AL206" s="76"/>
      <c r="AM206" s="72"/>
      <c r="AN206" s="52"/>
      <c r="AO206" s="50">
        <v>2.2400000000000002</v>
      </c>
      <c r="AP206" s="76"/>
      <c r="AQ206" s="52">
        <v>155</v>
      </c>
      <c r="AR206" s="82">
        <f t="shared" si="50"/>
        <v>3452.0828000000001</v>
      </c>
      <c r="AS206" s="83">
        <f>AR206*E206</f>
        <v>50055.200600000004</v>
      </c>
      <c r="AT206" s="74">
        <f t="shared" si="51"/>
        <v>264.30305531914928</v>
      </c>
      <c r="AU206" s="73">
        <f>IFERROR(AT206*E206,0)</f>
        <v>3832.3943021276646</v>
      </c>
      <c r="AV206" s="72" t="str">
        <f>D206</f>
        <v>M25</v>
      </c>
      <c r="AW206" s="72">
        <f>P206/E206</f>
        <v>130.80851063829786</v>
      </c>
      <c r="AX206" s="72">
        <f>Q206/E206</f>
        <v>191.06382978723406</v>
      </c>
      <c r="AY206" s="72">
        <f>R206/E206</f>
        <v>0</v>
      </c>
      <c r="AZ206" s="72">
        <f>S206/E206</f>
        <v>0</v>
      </c>
      <c r="BA206" s="72">
        <f>T206/E206</f>
        <v>491.95744680851061</v>
      </c>
      <c r="BB206" s="72">
        <f>U206/E206</f>
        <v>734.468085106383</v>
      </c>
      <c r="BC206" s="72">
        <f>V206/E206</f>
        <v>780.76595744680856</v>
      </c>
      <c r="BD206" s="72"/>
      <c r="BE206" s="72">
        <f>X206/E206</f>
        <v>1.2765957446808511</v>
      </c>
      <c r="BF206" s="72">
        <f>Y206/E206</f>
        <v>0</v>
      </c>
      <c r="BG206" s="72">
        <f>AB206/E206</f>
        <v>170</v>
      </c>
      <c r="BH206" s="84">
        <f>Z206/E206</f>
        <v>0</v>
      </c>
      <c r="BI206" s="72"/>
      <c r="BJ206" s="72">
        <f t="shared" si="48"/>
        <v>2500.3404255319147</v>
      </c>
    </row>
    <row r="207" spans="1:62" ht="18.75">
      <c r="A207" s="36">
        <v>45743</v>
      </c>
      <c r="B207" s="37" t="s">
        <v>63</v>
      </c>
      <c r="C207" s="72"/>
      <c r="D207" s="39" t="s">
        <v>40</v>
      </c>
      <c r="E207" s="40">
        <v>9</v>
      </c>
      <c r="F207" s="73"/>
      <c r="G207" s="37" t="s">
        <v>64</v>
      </c>
      <c r="H207" s="42">
        <v>5700</v>
      </c>
      <c r="I207" s="72">
        <f t="shared" si="39"/>
        <v>3533.3622000000005</v>
      </c>
      <c r="J207" s="74">
        <f t="shared" si="40"/>
        <v>3187.7797446808509</v>
      </c>
      <c r="K207" s="74">
        <f t="shared" si="41"/>
        <v>2166.6377999999995</v>
      </c>
      <c r="L207" s="74">
        <f t="shared" si="42"/>
        <v>2512.2202553191491</v>
      </c>
      <c r="M207" s="74">
        <f t="shared" si="43"/>
        <v>0.55925960432997379</v>
      </c>
      <c r="N207" s="74">
        <f t="shared" si="44"/>
        <v>0.61988810526315796</v>
      </c>
      <c r="O207" s="75">
        <f t="shared" si="45"/>
        <v>0.10840851093799402</v>
      </c>
      <c r="P207" s="71">
        <v>1177.2765957446807</v>
      </c>
      <c r="Q207" s="71">
        <v>1719.5744680851064</v>
      </c>
      <c r="R207" s="71">
        <v>0</v>
      </c>
      <c r="S207" s="71">
        <v>0</v>
      </c>
      <c r="T207" s="71">
        <v>4427.6170212765956</v>
      </c>
      <c r="U207" s="71">
        <v>6610.2127659574471</v>
      </c>
      <c r="V207" s="71">
        <v>7026.8936170212774</v>
      </c>
      <c r="W207" s="71">
        <v>0</v>
      </c>
      <c r="X207" s="71">
        <v>11.48936170212766</v>
      </c>
      <c r="Y207" s="71">
        <v>0</v>
      </c>
      <c r="Z207" s="71">
        <v>0</v>
      </c>
      <c r="AA207" s="71">
        <v>0</v>
      </c>
      <c r="AB207" s="71">
        <v>1530</v>
      </c>
      <c r="AC207" s="76">
        <f>IFERROR(AD207/E207,0)</f>
        <v>3187.7797446808509</v>
      </c>
      <c r="AD207" s="77">
        <f t="shared" si="49"/>
        <v>28690.017702127658</v>
      </c>
      <c r="AE207" s="48">
        <v>216</v>
      </c>
      <c r="AF207" s="78"/>
      <c r="AG207" s="50">
        <v>144</v>
      </c>
      <c r="AH207" s="79"/>
      <c r="AI207" s="50">
        <v>495</v>
      </c>
      <c r="AJ207" s="50">
        <v>743</v>
      </c>
      <c r="AK207" s="50">
        <v>775</v>
      </c>
      <c r="AL207" s="76"/>
      <c r="AM207" s="72"/>
      <c r="AN207" s="52"/>
      <c r="AO207" s="50">
        <v>2.16</v>
      </c>
      <c r="AP207" s="76"/>
      <c r="AQ207" s="52">
        <v>155</v>
      </c>
      <c r="AR207" s="82">
        <f t="shared" si="50"/>
        <v>3533.3622000000005</v>
      </c>
      <c r="AS207" s="83">
        <f>AR207*E207</f>
        <v>31800.259800000003</v>
      </c>
      <c r="AT207" s="74">
        <f t="shared" si="51"/>
        <v>345.58245531914963</v>
      </c>
      <c r="AU207" s="73">
        <f>IFERROR(AT207*E207,0)</f>
        <v>3110.2420978723467</v>
      </c>
      <c r="AV207" s="72" t="str">
        <f>D207</f>
        <v>M25</v>
      </c>
      <c r="AW207" s="72">
        <f>P207/E207</f>
        <v>130.80851063829786</v>
      </c>
      <c r="AX207" s="72">
        <f>Q207/E207</f>
        <v>191.06382978723406</v>
      </c>
      <c r="AY207" s="72">
        <f>R207/E207</f>
        <v>0</v>
      </c>
      <c r="AZ207" s="72">
        <f>S207/E207</f>
        <v>0</v>
      </c>
      <c r="BA207" s="72">
        <f>T207/E207</f>
        <v>491.95744680851061</v>
      </c>
      <c r="BB207" s="72">
        <f>U207/E207</f>
        <v>734.468085106383</v>
      </c>
      <c r="BC207" s="72">
        <f>V207/E207</f>
        <v>780.76595744680856</v>
      </c>
      <c r="BD207" s="72"/>
      <c r="BE207" s="72">
        <f>X207/E207</f>
        <v>1.2765957446808511</v>
      </c>
      <c r="BF207" s="72">
        <f>Y207/E207</f>
        <v>0</v>
      </c>
      <c r="BG207" s="72">
        <f>AB207/E207</f>
        <v>170</v>
      </c>
      <c r="BH207" s="84">
        <f>Z207/E207</f>
        <v>0</v>
      </c>
      <c r="BI207" s="72"/>
      <c r="BJ207" s="72">
        <f t="shared" si="48"/>
        <v>2500.3404255319147</v>
      </c>
    </row>
    <row r="208" spans="1:62" ht="18.75">
      <c r="A208" s="36">
        <v>45743</v>
      </c>
      <c r="B208" s="37" t="s">
        <v>87</v>
      </c>
      <c r="C208" s="72"/>
      <c r="D208" s="39" t="s">
        <v>40</v>
      </c>
      <c r="E208" s="40">
        <v>10.5</v>
      </c>
      <c r="F208" s="73"/>
      <c r="G208" s="37" t="s">
        <v>41</v>
      </c>
      <c r="H208" s="42">
        <v>5600</v>
      </c>
      <c r="I208" s="72">
        <f t="shared" si="39"/>
        <v>3452.0828000000001</v>
      </c>
      <c r="J208" s="74">
        <f t="shared" si="40"/>
        <v>3339.3023333333335</v>
      </c>
      <c r="K208" s="74">
        <f t="shared" si="41"/>
        <v>2147.9171999999999</v>
      </c>
      <c r="L208" s="74">
        <f t="shared" si="42"/>
        <v>2260.6976666666665</v>
      </c>
      <c r="M208" s="74">
        <f t="shared" si="43"/>
        <v>0.5963039880952381</v>
      </c>
      <c r="N208" s="74">
        <f t="shared" si="44"/>
        <v>0.61644335714285714</v>
      </c>
      <c r="O208" s="75">
        <f t="shared" si="45"/>
        <v>3.3773661504344153E-2</v>
      </c>
      <c r="P208" s="71">
        <f>1202+909</f>
        <v>2111</v>
      </c>
      <c r="Q208" s="71">
        <v>1268</v>
      </c>
      <c r="R208" s="71">
        <v>0</v>
      </c>
      <c r="S208" s="71">
        <v>0</v>
      </c>
      <c r="T208" s="71">
        <v>5215</v>
      </c>
      <c r="U208" s="71">
        <v>7844</v>
      </c>
      <c r="V208" s="71">
        <f>3997+3977</f>
        <v>7974</v>
      </c>
      <c r="W208" s="71">
        <v>0</v>
      </c>
      <c r="X208" s="71">
        <v>13.85</v>
      </c>
      <c r="Y208" s="71">
        <v>0</v>
      </c>
      <c r="Z208" s="71">
        <v>0</v>
      </c>
      <c r="AA208" s="71">
        <v>0</v>
      </c>
      <c r="AB208" s="71">
        <v>1786</v>
      </c>
      <c r="AC208" s="76">
        <f>IFERROR(AD208/E208,0)</f>
        <v>3339.3023333333335</v>
      </c>
      <c r="AD208" s="77">
        <f t="shared" si="49"/>
        <v>35062.674500000001</v>
      </c>
      <c r="AE208" s="48">
        <v>224</v>
      </c>
      <c r="AF208" s="78"/>
      <c r="AG208" s="50">
        <v>96</v>
      </c>
      <c r="AH208" s="79"/>
      <c r="AI208" s="50">
        <v>495</v>
      </c>
      <c r="AJ208" s="50">
        <v>740</v>
      </c>
      <c r="AK208" s="50">
        <v>800</v>
      </c>
      <c r="AL208" s="76"/>
      <c r="AM208" s="72"/>
      <c r="AN208" s="52"/>
      <c r="AO208" s="50">
        <v>2.2400000000000002</v>
      </c>
      <c r="AP208" s="76"/>
      <c r="AQ208" s="52">
        <v>155</v>
      </c>
      <c r="AR208" s="82">
        <f t="shared" si="50"/>
        <v>3452.0828000000001</v>
      </c>
      <c r="AS208" s="83">
        <f>AR208*E208</f>
        <v>36246.869400000003</v>
      </c>
      <c r="AT208" s="74">
        <f t="shared" si="51"/>
        <v>112.7804666666666</v>
      </c>
      <c r="AU208" s="73">
        <f>IFERROR(AT208*E208,0)</f>
        <v>1184.1948999999993</v>
      </c>
      <c r="AV208" s="72" t="str">
        <f>D208</f>
        <v>M25</v>
      </c>
      <c r="AW208" s="72">
        <f>P208/E208</f>
        <v>201.04761904761904</v>
      </c>
      <c r="AX208" s="72">
        <f>Q208/E208</f>
        <v>120.76190476190476</v>
      </c>
      <c r="AY208" s="72">
        <f>R208/E208</f>
        <v>0</v>
      </c>
      <c r="AZ208" s="72">
        <f>S208/E208</f>
        <v>0</v>
      </c>
      <c r="BA208" s="72">
        <f>T208/E208</f>
        <v>496.66666666666669</v>
      </c>
      <c r="BB208" s="72">
        <f>U208/E208</f>
        <v>747.04761904761904</v>
      </c>
      <c r="BC208" s="72">
        <f>V208/E208</f>
        <v>759.42857142857144</v>
      </c>
      <c r="BD208" s="72"/>
      <c r="BE208" s="72">
        <f>X208/E208</f>
        <v>1.319047619047619</v>
      </c>
      <c r="BF208" s="72">
        <f>Y208/E208</f>
        <v>0</v>
      </c>
      <c r="BG208" s="72">
        <f>AB208/E208</f>
        <v>170.0952380952381</v>
      </c>
      <c r="BH208" s="84">
        <f>Z208/E208</f>
        <v>0</v>
      </c>
      <c r="BI208" s="72"/>
      <c r="BJ208" s="72">
        <f t="shared" si="48"/>
        <v>2496.3666666666668</v>
      </c>
    </row>
    <row r="209" spans="1:62" ht="18.75">
      <c r="A209" s="36">
        <v>45743</v>
      </c>
      <c r="B209" s="37" t="s">
        <v>76</v>
      </c>
      <c r="C209" s="72"/>
      <c r="D209" s="39" t="s">
        <v>43</v>
      </c>
      <c r="E209" s="40">
        <v>6.5</v>
      </c>
      <c r="F209" s="73"/>
      <c r="G209" s="37" t="s">
        <v>77</v>
      </c>
      <c r="H209" s="42">
        <v>5800</v>
      </c>
      <c r="I209" s="72">
        <f t="shared" si="39"/>
        <v>3611.0944</v>
      </c>
      <c r="J209" s="74">
        <f t="shared" si="40"/>
        <v>3508.828184615385</v>
      </c>
      <c r="K209" s="74">
        <f t="shared" si="41"/>
        <v>2188.9056</v>
      </c>
      <c r="L209" s="74">
        <f t="shared" si="42"/>
        <v>2291.171815384615</v>
      </c>
      <c r="M209" s="74">
        <f t="shared" si="43"/>
        <v>0.60497037665782505</v>
      </c>
      <c r="N209" s="74">
        <f t="shared" si="44"/>
        <v>0.62260248275862073</v>
      </c>
      <c r="O209" s="75">
        <f t="shared" si="45"/>
        <v>2.9145404107560977E-2</v>
      </c>
      <c r="P209" s="71">
        <v>1499</v>
      </c>
      <c r="Q209" s="71">
        <v>852</v>
      </c>
      <c r="R209" s="71"/>
      <c r="S209" s="71"/>
      <c r="T209" s="71">
        <v>3261</v>
      </c>
      <c r="U209" s="71">
        <v>4854</v>
      </c>
      <c r="V209" s="71">
        <f>2439+2287</f>
        <v>4726</v>
      </c>
      <c r="W209" s="71"/>
      <c r="X209" s="71">
        <v>10.36</v>
      </c>
      <c r="Y209" s="71"/>
      <c r="Z209" s="71"/>
      <c r="AA209" s="71"/>
      <c r="AB209" s="71">
        <v>852</v>
      </c>
      <c r="AC209" s="76">
        <f>IFERROR(AD209/E209,0)</f>
        <v>3508.828184615385</v>
      </c>
      <c r="AD209" s="77">
        <f t="shared" si="49"/>
        <v>22807.383200000004</v>
      </c>
      <c r="AE209" s="50">
        <v>252</v>
      </c>
      <c r="AF209" s="78"/>
      <c r="AG209" s="50">
        <v>108</v>
      </c>
      <c r="AH209" s="79"/>
      <c r="AI209" s="50">
        <v>525</v>
      </c>
      <c r="AJ209" s="50">
        <v>760</v>
      </c>
      <c r="AK209" s="50">
        <f>350+360</f>
        <v>710</v>
      </c>
      <c r="AL209" s="76"/>
      <c r="AM209" s="72"/>
      <c r="AN209" s="52"/>
      <c r="AO209" s="50">
        <v>2.52</v>
      </c>
      <c r="AP209" s="76"/>
      <c r="AQ209" s="52">
        <v>155</v>
      </c>
      <c r="AR209" s="82">
        <f t="shared" si="50"/>
        <v>3611.0944</v>
      </c>
      <c r="AS209" s="83">
        <f>AR209*E209</f>
        <v>23472.113600000001</v>
      </c>
      <c r="AT209" s="74">
        <f t="shared" si="51"/>
        <v>102.26621538461495</v>
      </c>
      <c r="AU209" s="73">
        <f>IFERROR(AT209*E209,0)</f>
        <v>664.73039999999719</v>
      </c>
      <c r="AV209" s="72" t="str">
        <f>D209</f>
        <v>M30</v>
      </c>
      <c r="AW209" s="72">
        <f>P209/E209</f>
        <v>230.61538461538461</v>
      </c>
      <c r="AX209" s="72">
        <f>Q209/E209</f>
        <v>131.07692307692307</v>
      </c>
      <c r="AY209" s="72">
        <f>R209/E209</f>
        <v>0</v>
      </c>
      <c r="AZ209" s="72">
        <f>S209/E209</f>
        <v>0</v>
      </c>
      <c r="BA209" s="72">
        <f>T209/E209</f>
        <v>501.69230769230768</v>
      </c>
      <c r="BB209" s="72">
        <f>U209/E209</f>
        <v>746.76923076923072</v>
      </c>
      <c r="BC209" s="72">
        <f>V209/E209</f>
        <v>727.07692307692309</v>
      </c>
      <c r="BD209" s="72"/>
      <c r="BE209" s="72">
        <f>X209/E209</f>
        <v>1.5938461538461537</v>
      </c>
      <c r="BF209" s="72">
        <f>Y209/E209</f>
        <v>0</v>
      </c>
      <c r="BG209" s="72">
        <f>AB209/E209</f>
        <v>131.07692307692307</v>
      </c>
      <c r="BH209" s="84">
        <f>Z209/E209</f>
        <v>0</v>
      </c>
      <c r="BI209" s="72"/>
      <c r="BJ209" s="72">
        <f t="shared" si="48"/>
        <v>2469.9015384615386</v>
      </c>
    </row>
    <row r="210" spans="1:62" ht="18.75">
      <c r="A210" s="36">
        <v>45743</v>
      </c>
      <c r="B210" s="37" t="s">
        <v>45</v>
      </c>
      <c r="C210" s="72"/>
      <c r="D210" s="39" t="s">
        <v>43</v>
      </c>
      <c r="E210" s="66">
        <v>6</v>
      </c>
      <c r="F210" s="73"/>
      <c r="G210" s="37" t="s">
        <v>46</v>
      </c>
      <c r="H210" s="42">
        <v>6000</v>
      </c>
      <c r="I210" s="72">
        <f t="shared" si="39"/>
        <v>4033.4050000000002</v>
      </c>
      <c r="J210" s="74">
        <f t="shared" si="40"/>
        <v>3709.1743000000006</v>
      </c>
      <c r="K210" s="74">
        <f t="shared" si="41"/>
        <v>1966.5949999999998</v>
      </c>
      <c r="L210" s="74">
        <f t="shared" si="42"/>
        <v>2290.8256999999994</v>
      </c>
      <c r="M210" s="74">
        <f t="shared" si="43"/>
        <v>0.61819571666666673</v>
      </c>
      <c r="N210" s="74">
        <f t="shared" si="44"/>
        <v>0.67223416666666669</v>
      </c>
      <c r="O210" s="75">
        <f t="shared" si="45"/>
        <v>8.7413174409193911E-2</v>
      </c>
      <c r="P210" s="71">
        <v>1812</v>
      </c>
      <c r="Q210" s="71">
        <v>490</v>
      </c>
      <c r="R210" s="71"/>
      <c r="S210" s="71"/>
      <c r="T210" s="71">
        <v>2987</v>
      </c>
      <c r="U210" s="71">
        <v>4464</v>
      </c>
      <c r="V210" s="71">
        <f>2079+2104</f>
        <v>4183</v>
      </c>
      <c r="W210" s="71"/>
      <c r="X210" s="71">
        <v>10.34</v>
      </c>
      <c r="Y210" s="71"/>
      <c r="Z210" s="71"/>
      <c r="AA210" s="71"/>
      <c r="AB210" s="71">
        <v>1077</v>
      </c>
      <c r="AC210" s="76">
        <f>IFERROR(AD210/E210,0)</f>
        <v>3709.1743000000006</v>
      </c>
      <c r="AD210" s="77">
        <f t="shared" si="49"/>
        <v>22255.045800000004</v>
      </c>
      <c r="AE210" s="48">
        <v>380</v>
      </c>
      <c r="AF210" s="78"/>
      <c r="AG210" s="50">
        <v>0</v>
      </c>
      <c r="AH210" s="79"/>
      <c r="AI210" s="50">
        <v>495</v>
      </c>
      <c r="AJ210" s="50">
        <v>745</v>
      </c>
      <c r="AK210" s="50">
        <f>380+380</f>
        <v>760</v>
      </c>
      <c r="AL210" s="76"/>
      <c r="AM210" s="72"/>
      <c r="AN210" s="52">
        <v>2.4700000000000002</v>
      </c>
      <c r="AO210" s="50"/>
      <c r="AP210" s="76"/>
      <c r="AQ210" s="52">
        <v>144</v>
      </c>
      <c r="AR210" s="82">
        <f t="shared" si="50"/>
        <v>4033.4050000000002</v>
      </c>
      <c r="AS210" s="83">
        <f>AR210*E210</f>
        <v>24200.43</v>
      </c>
      <c r="AT210" s="74">
        <f t="shared" si="51"/>
        <v>324.23069999999962</v>
      </c>
      <c r="AU210" s="73">
        <f>IFERROR(AT210*E210,0)</f>
        <v>1945.3841999999977</v>
      </c>
      <c r="AV210" s="72" t="str">
        <f>D210</f>
        <v>M30</v>
      </c>
      <c r="AW210" s="72">
        <f>P210/E210</f>
        <v>302</v>
      </c>
      <c r="AX210" s="72">
        <f>Q210/E210</f>
        <v>81.666666666666671</v>
      </c>
      <c r="AY210" s="72">
        <f>R210/E210</f>
        <v>0</v>
      </c>
      <c r="AZ210" s="72">
        <f>S210/E210</f>
        <v>0</v>
      </c>
      <c r="BA210" s="72">
        <f>T210/E210</f>
        <v>497.83333333333331</v>
      </c>
      <c r="BB210" s="72">
        <f>U210/E210</f>
        <v>744</v>
      </c>
      <c r="BC210" s="72">
        <f>V210/E210</f>
        <v>697.16666666666663</v>
      </c>
      <c r="BD210" s="72"/>
      <c r="BE210" s="72">
        <f>X210/E210</f>
        <v>1.7233333333333334</v>
      </c>
      <c r="BF210" s="72">
        <f>Y210/E210</f>
        <v>0</v>
      </c>
      <c r="BG210" s="72">
        <f>AB210/E210</f>
        <v>179.5</v>
      </c>
      <c r="BH210" s="84">
        <f>Z210/E210</f>
        <v>0</v>
      </c>
      <c r="BI210" s="72"/>
      <c r="BJ210" s="72">
        <f t="shared" si="48"/>
        <v>2503.89</v>
      </c>
    </row>
    <row r="211" spans="1:62" ht="18.75">
      <c r="A211" s="36">
        <v>45743</v>
      </c>
      <c r="B211" s="37" t="s">
        <v>63</v>
      </c>
      <c r="C211" s="72"/>
      <c r="D211" s="39" t="s">
        <v>43</v>
      </c>
      <c r="E211" s="40">
        <v>43</v>
      </c>
      <c r="F211" s="73"/>
      <c r="G211" s="37" t="s">
        <v>116</v>
      </c>
      <c r="H211" s="42">
        <v>5950</v>
      </c>
      <c r="I211" s="72">
        <f t="shared" si="39"/>
        <v>3557.9234000000006</v>
      </c>
      <c r="J211" s="74">
        <f t="shared" si="40"/>
        <v>3336.5553930232559</v>
      </c>
      <c r="K211" s="74">
        <f t="shared" si="41"/>
        <v>2392.0765999999994</v>
      </c>
      <c r="L211" s="74">
        <f t="shared" si="42"/>
        <v>2613.4446069767441</v>
      </c>
      <c r="M211" s="74">
        <f t="shared" si="43"/>
        <v>0.56076561227281607</v>
      </c>
      <c r="N211" s="74">
        <f t="shared" si="44"/>
        <v>0.59797031932773115</v>
      </c>
      <c r="O211" s="75">
        <f t="shared" si="45"/>
        <v>6.6346270599800528E-2</v>
      </c>
      <c r="P211" s="71">
        <f>293+5941</f>
        <v>6234</v>
      </c>
      <c r="Q211" s="71">
        <v>9534</v>
      </c>
      <c r="R211" s="71"/>
      <c r="S211" s="71"/>
      <c r="T211" s="71">
        <v>20685</v>
      </c>
      <c r="U211" s="71">
        <v>31406</v>
      </c>
      <c r="V211" s="71">
        <f>16350+16687</f>
        <v>33037</v>
      </c>
      <c r="W211" s="71"/>
      <c r="X211" s="71">
        <v>61.67</v>
      </c>
      <c r="Y211" s="71"/>
      <c r="Z211" s="71"/>
      <c r="AA211" s="71"/>
      <c r="AB211" s="71">
        <v>6792</v>
      </c>
      <c r="AC211" s="76">
        <f>IFERROR(AD211/E211,0)</f>
        <v>3336.5553930232559</v>
      </c>
      <c r="AD211" s="77">
        <f t="shared" si="49"/>
        <v>143471.88190000001</v>
      </c>
      <c r="AE211" s="50">
        <v>222</v>
      </c>
      <c r="AF211" s="78"/>
      <c r="AG211" s="50">
        <v>148</v>
      </c>
      <c r="AH211" s="79"/>
      <c r="AI211" s="50">
        <v>490</v>
      </c>
      <c r="AJ211" s="50">
        <v>730</v>
      </c>
      <c r="AK211" s="50">
        <f>385+385</f>
        <v>770</v>
      </c>
      <c r="AL211" s="76"/>
      <c r="AM211" s="72"/>
      <c r="AN211" s="52"/>
      <c r="AO211" s="50">
        <v>2.2200000000000002</v>
      </c>
      <c r="AP211" s="76"/>
      <c r="AQ211" s="52">
        <v>148</v>
      </c>
      <c r="AR211" s="82">
        <f t="shared" si="50"/>
        <v>3557.9234000000006</v>
      </c>
      <c r="AS211" s="83">
        <f>AR211*E211</f>
        <v>152990.70620000002</v>
      </c>
      <c r="AT211" s="74">
        <f t="shared" si="51"/>
        <v>221.36800697674471</v>
      </c>
      <c r="AU211" s="73">
        <f>IFERROR(AT211*E211,0)</f>
        <v>9518.824300000022</v>
      </c>
      <c r="AV211" s="72" t="str">
        <f>D211</f>
        <v>M30</v>
      </c>
      <c r="AW211" s="72">
        <f>P211/E211</f>
        <v>144.97674418604652</v>
      </c>
      <c r="AX211" s="72">
        <f>Q211/E211</f>
        <v>221.72093023255815</v>
      </c>
      <c r="AY211" s="72">
        <f>R211/E211</f>
        <v>0</v>
      </c>
      <c r="AZ211" s="72">
        <f>S211/E211</f>
        <v>0</v>
      </c>
      <c r="BA211" s="72">
        <f>T211/E211</f>
        <v>481.04651162790697</v>
      </c>
      <c r="BB211" s="72">
        <f>U211/E211</f>
        <v>730.37209302325584</v>
      </c>
      <c r="BC211" s="72">
        <f>V211/E211</f>
        <v>768.30232558139539</v>
      </c>
      <c r="BD211" s="72"/>
      <c r="BE211" s="72">
        <f>X211/E211</f>
        <v>1.4341860465116278</v>
      </c>
      <c r="BF211" s="72">
        <f>Y211/E211</f>
        <v>0</v>
      </c>
      <c r="BG211" s="72">
        <f>AB211/E211</f>
        <v>157.95348837209303</v>
      </c>
      <c r="BH211" s="84">
        <f>Z211/E211</f>
        <v>0</v>
      </c>
      <c r="BI211" s="72"/>
      <c r="BJ211" s="72">
        <f t="shared" si="48"/>
        <v>2505.8062790697677</v>
      </c>
    </row>
    <row r="212" spans="1:62" ht="18.75">
      <c r="A212" s="36">
        <v>45743</v>
      </c>
      <c r="B212" s="37" t="s">
        <v>63</v>
      </c>
      <c r="C212" s="72"/>
      <c r="D212" s="39" t="s">
        <v>43</v>
      </c>
      <c r="E212" s="40">
        <v>26</v>
      </c>
      <c r="F212" s="73"/>
      <c r="G212" s="37" t="s">
        <v>116</v>
      </c>
      <c r="H212" s="42">
        <v>5950</v>
      </c>
      <c r="I212" s="72">
        <f t="shared" si="39"/>
        <v>3557.9234000000006</v>
      </c>
      <c r="J212" s="74">
        <f t="shared" si="40"/>
        <v>3545.317320000001</v>
      </c>
      <c r="K212" s="74">
        <f t="shared" si="41"/>
        <v>2392.0765999999994</v>
      </c>
      <c r="L212" s="74">
        <f t="shared" si="42"/>
        <v>2404.682679999999</v>
      </c>
      <c r="M212" s="74">
        <f t="shared" si="43"/>
        <v>0.59585165042016819</v>
      </c>
      <c r="N212" s="74">
        <f t="shared" si="44"/>
        <v>0.59797031932773115</v>
      </c>
      <c r="O212" s="75">
        <f t="shared" si="45"/>
        <v>3.5556986475894932E-3</v>
      </c>
      <c r="P212" s="71">
        <v>6512.6285714285714</v>
      </c>
      <c r="Q212" s="71">
        <v>2876.3428571428572</v>
      </c>
      <c r="R212" s="71">
        <v>0</v>
      </c>
      <c r="S212" s="71">
        <v>0</v>
      </c>
      <c r="T212" s="71">
        <v>12942.057142857142</v>
      </c>
      <c r="U212" s="71">
        <v>19360.342857142856</v>
      </c>
      <c r="V212" s="71">
        <v>18562.514285714286</v>
      </c>
      <c r="W212" s="71">
        <v>0</v>
      </c>
      <c r="X212" s="71">
        <v>46.398857142857146</v>
      </c>
      <c r="Y212" s="71">
        <v>0</v>
      </c>
      <c r="Z212" s="71">
        <v>0</v>
      </c>
      <c r="AA212" s="71">
        <v>0</v>
      </c>
      <c r="AB212" s="71">
        <v>4471.2571428571428</v>
      </c>
      <c r="AC212" s="76">
        <f>IFERROR(AD212/E212,0)</f>
        <v>3545.317320000001</v>
      </c>
      <c r="AD212" s="77">
        <f t="shared" si="49"/>
        <v>92178.250320000021</v>
      </c>
      <c r="AE212" s="50">
        <v>222</v>
      </c>
      <c r="AF212" s="78"/>
      <c r="AG212" s="50">
        <v>148</v>
      </c>
      <c r="AH212" s="79"/>
      <c r="AI212" s="50">
        <v>490</v>
      </c>
      <c r="AJ212" s="50">
        <v>730</v>
      </c>
      <c r="AK212" s="50">
        <f>385+385</f>
        <v>770</v>
      </c>
      <c r="AL212" s="76"/>
      <c r="AM212" s="72"/>
      <c r="AN212" s="52"/>
      <c r="AO212" s="50">
        <v>2.2200000000000002</v>
      </c>
      <c r="AP212" s="76"/>
      <c r="AQ212" s="52">
        <v>148</v>
      </c>
      <c r="AR212" s="82">
        <f t="shared" si="50"/>
        <v>3557.9234000000006</v>
      </c>
      <c r="AS212" s="83">
        <f>AR212*E212</f>
        <v>92506.008400000021</v>
      </c>
      <c r="AT212" s="74">
        <f t="shared" si="51"/>
        <v>12.606079999999565</v>
      </c>
      <c r="AU212" s="73">
        <f>IFERROR(AT212*E212,0)</f>
        <v>327.75807999998869</v>
      </c>
      <c r="AV212" s="72" t="str">
        <f>D212</f>
        <v>M30</v>
      </c>
      <c r="AW212" s="72">
        <f>P212/E212</f>
        <v>250.48571428571429</v>
      </c>
      <c r="AX212" s="72">
        <f>Q212/E212</f>
        <v>110.62857142857143</v>
      </c>
      <c r="AY212" s="72">
        <f>R212/E212</f>
        <v>0</v>
      </c>
      <c r="AZ212" s="72">
        <f>S212/E212</f>
        <v>0</v>
      </c>
      <c r="BA212" s="72">
        <f>T212/E212</f>
        <v>497.77142857142854</v>
      </c>
      <c r="BB212" s="72">
        <f>U212/E212</f>
        <v>744.62857142857138</v>
      </c>
      <c r="BC212" s="72">
        <f>V212/E212</f>
        <v>713.94285714285718</v>
      </c>
      <c r="BD212" s="72"/>
      <c r="BE212" s="72">
        <f>X212/E212</f>
        <v>1.7845714285714287</v>
      </c>
      <c r="BF212" s="72">
        <f>Y212/E212</f>
        <v>0</v>
      </c>
      <c r="BG212" s="72">
        <f>AB212/E212</f>
        <v>171.97142857142856</v>
      </c>
      <c r="BH212" s="84">
        <f>Z212/E212</f>
        <v>0</v>
      </c>
      <c r="BI212" s="72"/>
      <c r="BJ212" s="72">
        <f t="shared" si="48"/>
        <v>2491.2131428571429</v>
      </c>
    </row>
    <row r="213" spans="1:62" ht="18.75">
      <c r="A213" s="36">
        <v>45743</v>
      </c>
      <c r="B213" s="37" t="s">
        <v>47</v>
      </c>
      <c r="C213" s="72"/>
      <c r="D213" s="39" t="s">
        <v>43</v>
      </c>
      <c r="E213" s="66">
        <v>10</v>
      </c>
      <c r="F213" s="73"/>
      <c r="G213" s="37" t="s">
        <v>78</v>
      </c>
      <c r="H213" s="42">
        <v>5700</v>
      </c>
      <c r="I213" s="72">
        <f t="shared" si="39"/>
        <v>3886.9700000000003</v>
      </c>
      <c r="J213" s="74">
        <f t="shared" si="40"/>
        <v>3717.8682899999999</v>
      </c>
      <c r="K213" s="74">
        <f t="shared" si="41"/>
        <v>1813.0299999999997</v>
      </c>
      <c r="L213" s="74">
        <f t="shared" si="42"/>
        <v>1982.1317100000001</v>
      </c>
      <c r="M213" s="74">
        <f t="shared" si="43"/>
        <v>0.65225759473684208</v>
      </c>
      <c r="N213" s="74">
        <f t="shared" si="44"/>
        <v>0.68192456140350877</v>
      </c>
      <c r="O213" s="75">
        <f t="shared" si="45"/>
        <v>4.5483512811584859E-2</v>
      </c>
      <c r="P213" s="71">
        <v>2812</v>
      </c>
      <c r="Q213" s="71">
        <v>1209</v>
      </c>
      <c r="R213" s="71">
        <v>0</v>
      </c>
      <c r="S213" s="71">
        <v>0</v>
      </c>
      <c r="T213" s="71">
        <v>4890</v>
      </c>
      <c r="U213" s="71">
        <v>7464</v>
      </c>
      <c r="V213" s="71">
        <f>3439+3516</f>
        <v>6955</v>
      </c>
      <c r="W213" s="71">
        <v>0</v>
      </c>
      <c r="X213" s="71">
        <v>18.87</v>
      </c>
      <c r="Y213" s="71">
        <v>0</v>
      </c>
      <c r="Z213" s="71">
        <v>0</v>
      </c>
      <c r="AA213" s="71">
        <v>0</v>
      </c>
      <c r="AB213" s="71">
        <v>1591</v>
      </c>
      <c r="AC213" s="76">
        <f>IFERROR(AD213/E213,0)</f>
        <v>3717.8682899999999</v>
      </c>
      <c r="AD213" s="77">
        <f t="shared" si="49"/>
        <v>37178.6829</v>
      </c>
      <c r="AE213" s="48">
        <v>320</v>
      </c>
      <c r="AF213" s="78"/>
      <c r="AG213" s="50">
        <v>80</v>
      </c>
      <c r="AH213" s="79"/>
      <c r="AI213" s="50">
        <v>515</v>
      </c>
      <c r="AJ213" s="50">
        <v>780</v>
      </c>
      <c r="AK213" s="50">
        <f>360+300</f>
        <v>660</v>
      </c>
      <c r="AL213" s="76"/>
      <c r="AM213" s="72"/>
      <c r="AN213" s="52">
        <v>2</v>
      </c>
      <c r="AO213" s="50"/>
      <c r="AP213" s="76"/>
      <c r="AQ213" s="52">
        <v>152</v>
      </c>
      <c r="AR213" s="82">
        <f t="shared" si="50"/>
        <v>3886.9700000000003</v>
      </c>
      <c r="AS213" s="83">
        <f>AR213*E213</f>
        <v>38869.700000000004</v>
      </c>
      <c r="AT213" s="74">
        <f t="shared" si="51"/>
        <v>169.10171000000037</v>
      </c>
      <c r="AU213" s="73">
        <f>IFERROR(AT213*E213,0)</f>
        <v>1691.0171000000037</v>
      </c>
      <c r="AV213" s="72" t="str">
        <f>D213</f>
        <v>M30</v>
      </c>
      <c r="AW213" s="72">
        <f>P213/E213</f>
        <v>281.2</v>
      </c>
      <c r="AX213" s="72">
        <f>Q213/E213</f>
        <v>120.9</v>
      </c>
      <c r="AY213" s="72">
        <f>R213/E213</f>
        <v>0</v>
      </c>
      <c r="AZ213" s="72">
        <f>S213/E213</f>
        <v>0</v>
      </c>
      <c r="BA213" s="72">
        <f>T213/E213</f>
        <v>489</v>
      </c>
      <c r="BB213" s="72">
        <f>U213/E213</f>
        <v>746.4</v>
      </c>
      <c r="BC213" s="72">
        <f>V213/E213</f>
        <v>695.5</v>
      </c>
      <c r="BD213" s="72"/>
      <c r="BE213" s="72">
        <f>X213/E213</f>
        <v>1.887</v>
      </c>
      <c r="BF213" s="72">
        <f>Y213/E213</f>
        <v>0</v>
      </c>
      <c r="BG213" s="72">
        <f>AB213/E213</f>
        <v>159.1</v>
      </c>
      <c r="BH213" s="84">
        <f>Z213/E213</f>
        <v>0</v>
      </c>
      <c r="BI213" s="72"/>
      <c r="BJ213" s="72">
        <f t="shared" si="48"/>
        <v>2493.9870000000001</v>
      </c>
    </row>
    <row r="214" spans="1:62" ht="18.75">
      <c r="A214" s="36">
        <v>45743</v>
      </c>
      <c r="B214" s="37" t="s">
        <v>81</v>
      </c>
      <c r="C214" s="72"/>
      <c r="D214" s="39" t="s">
        <v>43</v>
      </c>
      <c r="E214" s="66">
        <v>9</v>
      </c>
      <c r="F214" s="73"/>
      <c r="G214" s="37" t="s">
        <v>115</v>
      </c>
      <c r="H214" s="42">
        <v>5650</v>
      </c>
      <c r="I214" s="72">
        <f t="shared" si="39"/>
        <v>3766.795000000001</v>
      </c>
      <c r="J214" s="74">
        <f t="shared" si="40"/>
        <v>3545.3173200000001</v>
      </c>
      <c r="K214" s="74">
        <f t="shared" si="41"/>
        <v>1883.204999999999</v>
      </c>
      <c r="L214" s="74">
        <f t="shared" si="42"/>
        <v>2104.6826799999999</v>
      </c>
      <c r="M214" s="74">
        <f t="shared" si="43"/>
        <v>0.62748979115044246</v>
      </c>
      <c r="N214" s="74">
        <f t="shared" si="44"/>
        <v>0.6666893805309736</v>
      </c>
      <c r="O214" s="75">
        <f t="shared" si="45"/>
        <v>6.2470481485702653E-2</v>
      </c>
      <c r="P214" s="71">
        <v>2254.3714285714286</v>
      </c>
      <c r="Q214" s="71">
        <v>995.65714285714284</v>
      </c>
      <c r="R214" s="71">
        <v>0</v>
      </c>
      <c r="S214" s="71">
        <v>0</v>
      </c>
      <c r="T214" s="71">
        <v>4479.9428571428571</v>
      </c>
      <c r="U214" s="71">
        <v>6701.6571428571424</v>
      </c>
      <c r="V214" s="71">
        <v>6425.4857142857145</v>
      </c>
      <c r="W214" s="71">
        <v>0</v>
      </c>
      <c r="X214" s="71">
        <v>16.061142857142858</v>
      </c>
      <c r="Y214" s="71">
        <v>0</v>
      </c>
      <c r="Z214" s="71">
        <v>0</v>
      </c>
      <c r="AA214" s="71">
        <v>0</v>
      </c>
      <c r="AB214" s="71">
        <v>1547.742857142857</v>
      </c>
      <c r="AC214" s="76">
        <f>IFERROR(AD214/E214,0)</f>
        <v>3545.3173200000001</v>
      </c>
      <c r="AD214" s="77">
        <f t="shared" si="49"/>
        <v>31907.855880000003</v>
      </c>
      <c r="AE214" s="50">
        <v>270</v>
      </c>
      <c r="AF214" s="78"/>
      <c r="AG214" s="50">
        <v>110</v>
      </c>
      <c r="AH214" s="79"/>
      <c r="AI214" s="50">
        <v>500</v>
      </c>
      <c r="AJ214" s="50">
        <v>755</v>
      </c>
      <c r="AK214" s="50">
        <f>355+360</f>
        <v>715</v>
      </c>
      <c r="AL214" s="76"/>
      <c r="AM214" s="72"/>
      <c r="AN214" s="52">
        <v>2.4700000000000002</v>
      </c>
      <c r="AO214" s="50"/>
      <c r="AP214" s="76"/>
      <c r="AQ214" s="52">
        <v>160</v>
      </c>
      <c r="AR214" s="82">
        <f t="shared" si="50"/>
        <v>3766.795000000001</v>
      </c>
      <c r="AS214" s="83">
        <f>AR214*E214</f>
        <v>33901.155000000006</v>
      </c>
      <c r="AT214" s="74">
        <f t="shared" si="51"/>
        <v>221.47768000000087</v>
      </c>
      <c r="AU214" s="73">
        <f>IFERROR(AT214*E214,0)</f>
        <v>1993.2991200000079</v>
      </c>
      <c r="AV214" s="72" t="str">
        <f>D214</f>
        <v>M30</v>
      </c>
      <c r="AW214" s="72">
        <f>P214/E214</f>
        <v>250.48571428571429</v>
      </c>
      <c r="AX214" s="72">
        <f>Q214/E214</f>
        <v>110.62857142857143</v>
      </c>
      <c r="AY214" s="72">
        <f>R214/E214</f>
        <v>0</v>
      </c>
      <c r="AZ214" s="72">
        <f>S214/E214</f>
        <v>0</v>
      </c>
      <c r="BA214" s="72">
        <f>T214/E214</f>
        <v>497.77142857142854</v>
      </c>
      <c r="BB214" s="72">
        <f>U214/E214</f>
        <v>744.62857142857138</v>
      </c>
      <c r="BC214" s="72">
        <f>V214/E214</f>
        <v>713.94285714285718</v>
      </c>
      <c r="BD214" s="72"/>
      <c r="BE214" s="72">
        <f>X214/E214</f>
        <v>1.7845714285714287</v>
      </c>
      <c r="BF214" s="72">
        <f>Y214/E214</f>
        <v>0</v>
      </c>
      <c r="BG214" s="72">
        <f>AB214/E214</f>
        <v>171.97142857142856</v>
      </c>
      <c r="BH214" s="84">
        <f>Z214/E214</f>
        <v>0</v>
      </c>
      <c r="BI214" s="72"/>
      <c r="BJ214" s="72">
        <f t="shared" si="48"/>
        <v>2491.2131428571429</v>
      </c>
    </row>
    <row r="215" spans="1:62" ht="18.75">
      <c r="A215" s="36">
        <v>45744</v>
      </c>
      <c r="B215" s="37" t="s">
        <v>95</v>
      </c>
      <c r="C215" s="72"/>
      <c r="D215" s="39" t="s">
        <v>31</v>
      </c>
      <c r="E215" s="66">
        <v>6.5</v>
      </c>
      <c r="F215" s="73"/>
      <c r="G215" s="37" t="s">
        <v>32</v>
      </c>
      <c r="H215" s="42">
        <v>5000</v>
      </c>
      <c r="I215" s="72">
        <f t="shared" si="39"/>
        <v>3003.4838000000004</v>
      </c>
      <c r="J215" s="74">
        <f t="shared" si="40"/>
        <v>2622.318661538462</v>
      </c>
      <c r="K215" s="74">
        <f t="shared" si="41"/>
        <v>1996.5161999999996</v>
      </c>
      <c r="L215" s="74">
        <f t="shared" si="42"/>
        <v>2377.681338461538</v>
      </c>
      <c r="M215" s="74">
        <f t="shared" si="43"/>
        <v>0.52446373230769239</v>
      </c>
      <c r="N215" s="74">
        <f t="shared" si="44"/>
        <v>0.60069676000000005</v>
      </c>
      <c r="O215" s="75">
        <f t="shared" si="45"/>
        <v>0.14535424090599133</v>
      </c>
      <c r="P215" s="71">
        <v>387</v>
      </c>
      <c r="Q215" s="71">
        <v>653</v>
      </c>
      <c r="R215" s="71"/>
      <c r="S215" s="71"/>
      <c r="T215" s="71">
        <v>2962</v>
      </c>
      <c r="U215" s="71">
        <v>4432</v>
      </c>
      <c r="V215" s="71">
        <f>3242+3215</f>
        <v>6457</v>
      </c>
      <c r="W215" s="71"/>
      <c r="X215" s="71">
        <v>5.19</v>
      </c>
      <c r="Y215" s="71"/>
      <c r="Z215" s="71"/>
      <c r="AA215" s="71"/>
      <c r="AB215" s="71">
        <v>653</v>
      </c>
      <c r="AC215" s="76">
        <f>IFERROR(AD215/E215,0)</f>
        <v>2622.318661538462</v>
      </c>
      <c r="AD215" s="77">
        <f t="shared" si="49"/>
        <v>17045.071300000003</v>
      </c>
      <c r="AE215" s="48">
        <v>154</v>
      </c>
      <c r="AF215" s="78"/>
      <c r="AG215" s="50">
        <v>66</v>
      </c>
      <c r="AH215" s="79"/>
      <c r="AI215" s="50">
        <v>480</v>
      </c>
      <c r="AJ215" s="50">
        <v>700</v>
      </c>
      <c r="AK215" s="50">
        <f>450+450</f>
        <v>900</v>
      </c>
      <c r="AL215" s="76"/>
      <c r="AM215" s="72"/>
      <c r="AN215" s="52"/>
      <c r="AO215" s="50">
        <v>1.54</v>
      </c>
      <c r="AP215" s="76"/>
      <c r="AQ215" s="52">
        <v>154</v>
      </c>
      <c r="AR215" s="82">
        <f t="shared" si="50"/>
        <v>3003.4838000000004</v>
      </c>
      <c r="AS215" s="83">
        <f>AR215*E215</f>
        <v>19522.644700000004</v>
      </c>
      <c r="AT215" s="74">
        <f t="shared" si="51"/>
        <v>381.16513846153839</v>
      </c>
      <c r="AU215" s="73">
        <f>IFERROR(AT215*E215,0)</f>
        <v>2477.5733999999993</v>
      </c>
      <c r="AV215" s="72" t="str">
        <f>D215</f>
        <v>M10</v>
      </c>
      <c r="AW215" s="72">
        <f>P215/E215</f>
        <v>59.53846153846154</v>
      </c>
      <c r="AX215" s="72">
        <f>Q215/E215</f>
        <v>100.46153846153847</v>
      </c>
      <c r="AY215" s="72">
        <f>R215/E215</f>
        <v>0</v>
      </c>
      <c r="AZ215" s="72">
        <f>S215/E215</f>
        <v>0</v>
      </c>
      <c r="BA215" s="72">
        <f>T215/E215</f>
        <v>455.69230769230768</v>
      </c>
      <c r="BB215" s="72">
        <f>U215/E215</f>
        <v>681.84615384615381</v>
      </c>
      <c r="BC215" s="72">
        <f>V215/E215</f>
        <v>993.38461538461536</v>
      </c>
      <c r="BD215" s="72"/>
      <c r="BE215" s="72">
        <f>X215/E215</f>
        <v>0.79846153846153856</v>
      </c>
      <c r="BF215" s="72">
        <f>Y215/E215</f>
        <v>0</v>
      </c>
      <c r="BG215" s="72">
        <f>AB215/E215</f>
        <v>100.46153846153847</v>
      </c>
      <c r="BH215" s="84">
        <f>Z215/E215</f>
        <v>0</v>
      </c>
      <c r="BI215" s="72"/>
      <c r="BJ215" s="72">
        <f t="shared" si="48"/>
        <v>2392.1830769230769</v>
      </c>
    </row>
    <row r="216" spans="1:62" ht="18.75">
      <c r="A216" s="36">
        <v>45744</v>
      </c>
      <c r="B216" s="37" t="s">
        <v>60</v>
      </c>
      <c r="C216" s="72"/>
      <c r="D216" s="39" t="s">
        <v>37</v>
      </c>
      <c r="E216" s="66">
        <v>8.5</v>
      </c>
      <c r="F216" s="73"/>
      <c r="G216" s="37" t="s">
        <v>38</v>
      </c>
      <c r="H216" s="42">
        <v>5900</v>
      </c>
      <c r="I216" s="72">
        <f t="shared" si="39"/>
        <v>3372.9120000000003</v>
      </c>
      <c r="J216" s="74">
        <f t="shared" si="40"/>
        <v>3373.3083647058825</v>
      </c>
      <c r="K216" s="74">
        <f t="shared" si="41"/>
        <v>2527.0879999999997</v>
      </c>
      <c r="L216" s="74">
        <f t="shared" si="42"/>
        <v>2526.6916352941175</v>
      </c>
      <c r="M216" s="74">
        <f t="shared" si="43"/>
        <v>0.57174718045862416</v>
      </c>
      <c r="N216" s="74">
        <f t="shared" si="44"/>
        <v>0.57168000000000008</v>
      </c>
      <c r="O216" s="75">
        <f t="shared" si="45"/>
        <v>-1.1750028844951137E-4</v>
      </c>
      <c r="P216" s="71">
        <v>1117</v>
      </c>
      <c r="Q216" s="71">
        <v>1109</v>
      </c>
      <c r="R216" s="71"/>
      <c r="S216" s="71"/>
      <c r="T216" s="71">
        <v>4167</v>
      </c>
      <c r="U216" s="71">
        <v>9208</v>
      </c>
      <c r="V216" s="71">
        <v>7162</v>
      </c>
      <c r="W216" s="71"/>
      <c r="X216" s="71">
        <v>9.33</v>
      </c>
      <c r="Y216" s="71"/>
      <c r="Z216" s="71"/>
      <c r="AA216" s="71"/>
      <c r="AB216" s="71">
        <v>1438</v>
      </c>
      <c r="AC216" s="76">
        <f>IFERROR(AD216/E216,0)</f>
        <v>3373.3083647058825</v>
      </c>
      <c r="AD216" s="77">
        <f t="shared" si="49"/>
        <v>28673.1211</v>
      </c>
      <c r="AE216" s="50">
        <v>210</v>
      </c>
      <c r="AF216" s="78"/>
      <c r="AG216" s="50">
        <v>90</v>
      </c>
      <c r="AH216" s="79"/>
      <c r="AI216" s="50">
        <v>490</v>
      </c>
      <c r="AJ216" s="50">
        <v>735</v>
      </c>
      <c r="AK216" s="50">
        <f>430+400</f>
        <v>830</v>
      </c>
      <c r="AL216" s="76"/>
      <c r="AM216" s="72"/>
      <c r="AN216" s="52"/>
      <c r="AO216" s="50">
        <v>2.1</v>
      </c>
      <c r="AP216" s="76"/>
      <c r="AQ216" s="52">
        <v>159</v>
      </c>
      <c r="AR216" s="82">
        <f t="shared" si="50"/>
        <v>3372.9120000000003</v>
      </c>
      <c r="AS216" s="83">
        <f>AR216*E216</f>
        <v>28669.752</v>
      </c>
      <c r="AT216" s="74">
        <f t="shared" si="51"/>
        <v>-0.39636470588220618</v>
      </c>
      <c r="AU216" s="73">
        <f>IFERROR(AT216*E216,0)</f>
        <v>-3.3690999999987525</v>
      </c>
      <c r="AV216" s="72" t="str">
        <f>D216</f>
        <v>M20</v>
      </c>
      <c r="AW216" s="72">
        <f>P216/E216</f>
        <v>131.41176470588235</v>
      </c>
      <c r="AX216" s="72">
        <f>Q216/E216</f>
        <v>130.47058823529412</v>
      </c>
      <c r="AY216" s="72">
        <f>R216/E216</f>
        <v>0</v>
      </c>
      <c r="AZ216" s="72">
        <f>S216/E216</f>
        <v>0</v>
      </c>
      <c r="BA216" s="72">
        <f>T216/E216</f>
        <v>490.23529411764707</v>
      </c>
      <c r="BB216" s="72">
        <f>U216/E216</f>
        <v>1083.2941176470588</v>
      </c>
      <c r="BC216" s="72">
        <f>V216/E216</f>
        <v>842.58823529411768</v>
      </c>
      <c r="BD216" s="72"/>
      <c r="BE216" s="72">
        <f>X216/E216</f>
        <v>1.0976470588235294</v>
      </c>
      <c r="BF216" s="72">
        <f>Y216/E216</f>
        <v>0</v>
      </c>
      <c r="BG216" s="72">
        <f>AB216/E216</f>
        <v>169.1764705882353</v>
      </c>
      <c r="BH216" s="84">
        <f>Z216/E216</f>
        <v>0</v>
      </c>
      <c r="BI216" s="72"/>
      <c r="BJ216" s="72">
        <f t="shared" si="48"/>
        <v>2848.2741176470586</v>
      </c>
    </row>
    <row r="217" spans="1:62" ht="18.75">
      <c r="A217" s="36">
        <v>45744</v>
      </c>
      <c r="B217" s="37" t="s">
        <v>47</v>
      </c>
      <c r="C217" s="72"/>
      <c r="D217" s="39" t="s">
        <v>43</v>
      </c>
      <c r="E217" s="66">
        <v>13</v>
      </c>
      <c r="F217" s="73"/>
      <c r="G217" s="37" t="s">
        <v>78</v>
      </c>
      <c r="H217" s="42">
        <v>5700</v>
      </c>
      <c r="I217" s="72">
        <f t="shared" si="39"/>
        <v>3886.9700000000003</v>
      </c>
      <c r="J217" s="74">
        <f t="shared" si="40"/>
        <v>3181.9273827586226</v>
      </c>
      <c r="K217" s="74">
        <f t="shared" si="41"/>
        <v>1813.0299999999997</v>
      </c>
      <c r="L217" s="74">
        <f t="shared" si="42"/>
        <v>2518.0726172413774</v>
      </c>
      <c r="M217" s="74">
        <f t="shared" si="43"/>
        <v>0.55823287416817935</v>
      </c>
      <c r="N217" s="74">
        <f t="shared" si="44"/>
        <v>0.68192456140350877</v>
      </c>
      <c r="O217" s="75">
        <f t="shared" si="45"/>
        <v>0.22157721796596433</v>
      </c>
      <c r="P217" s="71">
        <v>1700.7586206896599</v>
      </c>
      <c r="Q217" s="71">
        <v>2474.4827586206898</v>
      </c>
      <c r="R217" s="71">
        <v>0</v>
      </c>
      <c r="S217" s="71">
        <v>0</v>
      </c>
      <c r="T217" s="71">
        <v>6402.2758620689656</v>
      </c>
      <c r="U217" s="71">
        <v>9507.7068965517246</v>
      </c>
      <c r="V217" s="71">
        <v>10120.051724137931</v>
      </c>
      <c r="W217" s="71">
        <v>0</v>
      </c>
      <c r="X217" s="71">
        <v>16.711724137931036</v>
      </c>
      <c r="Y217" s="71">
        <v>0</v>
      </c>
      <c r="Z217" s="71">
        <v>0</v>
      </c>
      <c r="AA217" s="71">
        <v>0</v>
      </c>
      <c r="AB217" s="71">
        <v>2255.5</v>
      </c>
      <c r="AC217" s="76">
        <f>IFERROR(AD217/E217,0)</f>
        <v>3181.9273827586226</v>
      </c>
      <c r="AD217" s="77">
        <f t="shared" si="49"/>
        <v>41365.055975862095</v>
      </c>
      <c r="AE217" s="48">
        <v>320</v>
      </c>
      <c r="AF217" s="78"/>
      <c r="AG217" s="50">
        <v>80</v>
      </c>
      <c r="AH217" s="79"/>
      <c r="AI217" s="50">
        <v>515</v>
      </c>
      <c r="AJ217" s="50">
        <v>780</v>
      </c>
      <c r="AK217" s="50">
        <f>360+300</f>
        <v>660</v>
      </c>
      <c r="AL217" s="76"/>
      <c r="AM217" s="72"/>
      <c r="AN217" s="52">
        <v>2</v>
      </c>
      <c r="AO217" s="50"/>
      <c r="AP217" s="76"/>
      <c r="AQ217" s="52">
        <v>152</v>
      </c>
      <c r="AR217" s="82">
        <f t="shared" si="50"/>
        <v>3886.9700000000003</v>
      </c>
      <c r="AS217" s="83">
        <f>AR217*E217</f>
        <v>50530.61</v>
      </c>
      <c r="AT217" s="74">
        <f t="shared" si="51"/>
        <v>705.04261724137768</v>
      </c>
      <c r="AU217" s="73">
        <f>IFERROR(AT217*E217,0)</f>
        <v>9165.5540241379094</v>
      </c>
      <c r="AV217" s="72" t="str">
        <f>D217</f>
        <v>M30</v>
      </c>
      <c r="AW217" s="72">
        <f>P217/E217</f>
        <v>130.82758620689691</v>
      </c>
      <c r="AX217" s="72">
        <f>Q217/E217</f>
        <v>190.34482758620692</v>
      </c>
      <c r="AY217" s="72">
        <f>R217/E217</f>
        <v>0</v>
      </c>
      <c r="AZ217" s="72">
        <f>S217/E217</f>
        <v>0</v>
      </c>
      <c r="BA217" s="72">
        <f>T217/E217</f>
        <v>492.48275862068965</v>
      </c>
      <c r="BB217" s="72">
        <f>U217/E217</f>
        <v>731.36206896551732</v>
      </c>
      <c r="BC217" s="72">
        <f>V217/E217</f>
        <v>778.4655172413793</v>
      </c>
      <c r="BD217" s="72"/>
      <c r="BE217" s="72">
        <f>X217/E217</f>
        <v>1.2855172413793103</v>
      </c>
      <c r="BF217" s="72">
        <f>Y217/E217</f>
        <v>0</v>
      </c>
      <c r="BG217" s="72">
        <f>AB217/E217</f>
        <v>173.5</v>
      </c>
      <c r="BH217" s="84">
        <f>Z217/E217</f>
        <v>0</v>
      </c>
      <c r="BI217" s="72"/>
      <c r="BJ217" s="72">
        <f t="shared" si="48"/>
        <v>2498.2682758620695</v>
      </c>
    </row>
    <row r="218" spans="1:62" ht="18.75">
      <c r="A218" s="36">
        <v>45744</v>
      </c>
      <c r="B218" s="37" t="s">
        <v>47</v>
      </c>
      <c r="C218" s="72"/>
      <c r="D218" s="39" t="s">
        <v>43</v>
      </c>
      <c r="E218" s="66">
        <v>33</v>
      </c>
      <c r="F218" s="73"/>
      <c r="G218" s="37" t="s">
        <v>78</v>
      </c>
      <c r="H218" s="42">
        <v>5700</v>
      </c>
      <c r="I218" s="72">
        <f t="shared" si="39"/>
        <v>3886.9700000000003</v>
      </c>
      <c r="J218" s="74">
        <f t="shared" si="40"/>
        <v>3643.1963181818182</v>
      </c>
      <c r="K218" s="74">
        <f t="shared" si="41"/>
        <v>1813.0299999999997</v>
      </c>
      <c r="L218" s="74">
        <f t="shared" si="42"/>
        <v>2056.8036818181818</v>
      </c>
      <c r="M218" s="74">
        <f t="shared" si="43"/>
        <v>0.63915724880382774</v>
      </c>
      <c r="N218" s="74">
        <f t="shared" si="44"/>
        <v>0.68192456140350877</v>
      </c>
      <c r="O218" s="75">
        <f t="shared" si="45"/>
        <v>6.6912035621467719E-2</v>
      </c>
      <c r="P218" s="71">
        <v>8925</v>
      </c>
      <c r="Q218" s="71">
        <v>3666</v>
      </c>
      <c r="R218" s="71"/>
      <c r="S218" s="71"/>
      <c r="T218" s="71">
        <v>16382</v>
      </c>
      <c r="U218" s="71">
        <v>24580</v>
      </c>
      <c r="V218" s="71">
        <f>11687+11429</f>
        <v>23116</v>
      </c>
      <c r="W218" s="71"/>
      <c r="X218" s="71">
        <v>62.25</v>
      </c>
      <c r="Y218" s="71"/>
      <c r="Z218" s="71"/>
      <c r="AA218" s="71"/>
      <c r="AB218" s="71">
        <v>5867</v>
      </c>
      <c r="AC218" s="76">
        <f>IFERROR(AD218/E218,0)</f>
        <v>3643.1963181818182</v>
      </c>
      <c r="AD218" s="77">
        <f t="shared" si="49"/>
        <v>120225.4785</v>
      </c>
      <c r="AE218" s="48">
        <v>320</v>
      </c>
      <c r="AF218" s="78"/>
      <c r="AG218" s="50">
        <v>80</v>
      </c>
      <c r="AH218" s="79"/>
      <c r="AI218" s="50">
        <v>515</v>
      </c>
      <c r="AJ218" s="50">
        <v>780</v>
      </c>
      <c r="AK218" s="50">
        <f>360+300</f>
        <v>660</v>
      </c>
      <c r="AL218" s="76"/>
      <c r="AM218" s="72"/>
      <c r="AN218" s="52">
        <v>2</v>
      </c>
      <c r="AO218" s="50"/>
      <c r="AP218" s="76"/>
      <c r="AQ218" s="52">
        <v>152</v>
      </c>
      <c r="AR218" s="82">
        <f t="shared" si="50"/>
        <v>3886.9700000000003</v>
      </c>
      <c r="AS218" s="83">
        <f>AR218*E218</f>
        <v>128270.01000000001</v>
      </c>
      <c r="AT218" s="74">
        <f t="shared" si="51"/>
        <v>243.77368181818201</v>
      </c>
      <c r="AU218" s="73">
        <f>IFERROR(AT218*E218,0)</f>
        <v>8044.5315000000064</v>
      </c>
      <c r="AV218" s="72" t="str">
        <f>D218</f>
        <v>M30</v>
      </c>
      <c r="AW218" s="72">
        <f>P218/E218</f>
        <v>270.45454545454544</v>
      </c>
      <c r="AX218" s="72">
        <f>Q218/E218</f>
        <v>111.09090909090909</v>
      </c>
      <c r="AY218" s="72">
        <f>R218/E218</f>
        <v>0</v>
      </c>
      <c r="AZ218" s="72">
        <f>S218/E218</f>
        <v>0</v>
      </c>
      <c r="BA218" s="72">
        <f>T218/E218</f>
        <v>496.42424242424244</v>
      </c>
      <c r="BB218" s="72">
        <f>U218/E218</f>
        <v>744.84848484848487</v>
      </c>
      <c r="BC218" s="72">
        <f>V218/E218</f>
        <v>700.4848484848485</v>
      </c>
      <c r="BD218" s="72"/>
      <c r="BE218" s="72">
        <f>X218/E218</f>
        <v>1.8863636363636365</v>
      </c>
      <c r="BF218" s="72">
        <f>Y218/E218</f>
        <v>0</v>
      </c>
      <c r="BG218" s="72">
        <f>AB218/E218</f>
        <v>177.78787878787878</v>
      </c>
      <c r="BH218" s="84">
        <f>Z218/E218</f>
        <v>0</v>
      </c>
      <c r="BI218" s="72"/>
      <c r="BJ218" s="72">
        <f t="shared" si="48"/>
        <v>2502.977272727273</v>
      </c>
    </row>
    <row r="219" spans="1:62" ht="18.75">
      <c r="A219" s="36">
        <v>45744</v>
      </c>
      <c r="B219" s="37" t="s">
        <v>47</v>
      </c>
      <c r="C219" s="72"/>
      <c r="D219" s="39" t="s">
        <v>43</v>
      </c>
      <c r="E219" s="66">
        <v>13</v>
      </c>
      <c r="F219" s="73"/>
      <c r="G219" s="37" t="s">
        <v>78</v>
      </c>
      <c r="H219" s="42">
        <v>5700</v>
      </c>
      <c r="I219" s="72">
        <f t="shared" si="39"/>
        <v>3886.9700000000003</v>
      </c>
      <c r="J219" s="74">
        <f t="shared" si="40"/>
        <v>3307.8121176470586</v>
      </c>
      <c r="K219" s="74">
        <f t="shared" si="41"/>
        <v>1813.0299999999997</v>
      </c>
      <c r="L219" s="74">
        <f t="shared" si="42"/>
        <v>2392.1878823529414</v>
      </c>
      <c r="M219" s="74">
        <f t="shared" si="43"/>
        <v>0.58031791537667698</v>
      </c>
      <c r="N219" s="74">
        <f t="shared" si="44"/>
        <v>0.68192456140350877</v>
      </c>
      <c r="O219" s="75">
        <f t="shared" si="45"/>
        <v>0.17508790153562673</v>
      </c>
      <c r="P219" s="71">
        <v>1881.9411764705881</v>
      </c>
      <c r="Q219" s="71">
        <v>2816.4117647058824</v>
      </c>
      <c r="R219" s="71">
        <v>0</v>
      </c>
      <c r="S219" s="71">
        <v>0</v>
      </c>
      <c r="T219" s="71">
        <v>6454.1176470588234</v>
      </c>
      <c r="U219" s="71">
        <v>9647.5294117647063</v>
      </c>
      <c r="V219" s="71">
        <v>9454.0588235294126</v>
      </c>
      <c r="W219" s="71">
        <v>0</v>
      </c>
      <c r="X219" s="71">
        <v>18.276470588235291</v>
      </c>
      <c r="Y219" s="71">
        <v>0</v>
      </c>
      <c r="Z219" s="71">
        <v>0</v>
      </c>
      <c r="AA219" s="71">
        <v>0</v>
      </c>
      <c r="AB219" s="71">
        <v>2318.5882352941176</v>
      </c>
      <c r="AC219" s="76">
        <f>IFERROR(AD219/E219,0)</f>
        <v>3307.8121176470586</v>
      </c>
      <c r="AD219" s="77">
        <f t="shared" si="49"/>
        <v>43001.557529411759</v>
      </c>
      <c r="AE219" s="48">
        <v>320</v>
      </c>
      <c r="AF219" s="78"/>
      <c r="AG219" s="50">
        <v>80</v>
      </c>
      <c r="AH219" s="79"/>
      <c r="AI219" s="50">
        <v>515</v>
      </c>
      <c r="AJ219" s="50">
        <v>780</v>
      </c>
      <c r="AK219" s="50">
        <f>360+300</f>
        <v>660</v>
      </c>
      <c r="AL219" s="76"/>
      <c r="AM219" s="72"/>
      <c r="AN219" s="52">
        <v>2</v>
      </c>
      <c r="AO219" s="50"/>
      <c r="AP219" s="76"/>
      <c r="AQ219" s="52">
        <v>152</v>
      </c>
      <c r="AR219" s="82">
        <f t="shared" si="50"/>
        <v>3886.9700000000003</v>
      </c>
      <c r="AS219" s="83">
        <f>AR219*E219</f>
        <v>50530.61</v>
      </c>
      <c r="AT219" s="74">
        <f t="shared" si="51"/>
        <v>579.15788235294167</v>
      </c>
      <c r="AU219" s="73">
        <f>IFERROR(AT219*E219,0)</f>
        <v>7529.0524705882417</v>
      </c>
      <c r="AV219" s="72" t="str">
        <f>D219</f>
        <v>M30</v>
      </c>
      <c r="AW219" s="72">
        <f>P219/E219</f>
        <v>144.76470588235293</v>
      </c>
      <c r="AX219" s="72">
        <f>Q219/E219</f>
        <v>216.64705882352942</v>
      </c>
      <c r="AY219" s="72">
        <f>R219/E219</f>
        <v>0</v>
      </c>
      <c r="AZ219" s="72">
        <f>S219/E219</f>
        <v>0</v>
      </c>
      <c r="BA219" s="72">
        <f>T219/E219</f>
        <v>496.47058823529409</v>
      </c>
      <c r="BB219" s="72">
        <f>U219/E219</f>
        <v>742.11764705882354</v>
      </c>
      <c r="BC219" s="72">
        <f>V219/E219</f>
        <v>727.23529411764707</v>
      </c>
      <c r="BD219" s="72"/>
      <c r="BE219" s="72">
        <f>X219/E219</f>
        <v>1.4058823529411764</v>
      </c>
      <c r="BF219" s="72">
        <f>Y219/E219</f>
        <v>0</v>
      </c>
      <c r="BG219" s="72">
        <f>AB219/E219</f>
        <v>178.35294117647058</v>
      </c>
      <c r="BH219" s="84">
        <f>Z219/E219</f>
        <v>0</v>
      </c>
      <c r="BI219" s="72"/>
      <c r="BJ219" s="72">
        <f t="shared" si="48"/>
        <v>2506.9941176470588</v>
      </c>
    </row>
    <row r="220" spans="1:62" ht="18.75">
      <c r="A220" s="36">
        <v>45744</v>
      </c>
      <c r="B220" s="37" t="s">
        <v>47</v>
      </c>
      <c r="C220" s="72"/>
      <c r="D220" s="39" t="s">
        <v>43</v>
      </c>
      <c r="E220" s="66">
        <v>9</v>
      </c>
      <c r="F220" s="73"/>
      <c r="G220" s="37" t="s">
        <v>78</v>
      </c>
      <c r="H220" s="42">
        <v>5700</v>
      </c>
      <c r="I220" s="72">
        <f t="shared" si="39"/>
        <v>3886.9700000000003</v>
      </c>
      <c r="J220" s="74">
        <f t="shared" si="40"/>
        <v>3573.7390777777782</v>
      </c>
      <c r="K220" s="74">
        <f t="shared" si="41"/>
        <v>1813.0299999999997</v>
      </c>
      <c r="L220" s="74">
        <f t="shared" si="42"/>
        <v>2126.2609222222218</v>
      </c>
      <c r="M220" s="74">
        <f t="shared" si="43"/>
        <v>0.62697176803118915</v>
      </c>
      <c r="N220" s="74">
        <f t="shared" si="44"/>
        <v>0.68192456140350877</v>
      </c>
      <c r="O220" s="75">
        <f t="shared" si="45"/>
        <v>8.7647955098332203E-2</v>
      </c>
      <c r="P220" s="71">
        <f>1675+616</f>
        <v>2291</v>
      </c>
      <c r="Q220" s="71">
        <v>1095</v>
      </c>
      <c r="R220" s="71"/>
      <c r="S220" s="71"/>
      <c r="T220" s="71">
        <v>4350</v>
      </c>
      <c r="U220" s="71">
        <v>6705</v>
      </c>
      <c r="V220" s="71">
        <f>3165+3062</f>
        <v>6227</v>
      </c>
      <c r="W220" s="71"/>
      <c r="X220" s="71">
        <v>17.21</v>
      </c>
      <c r="Y220" s="71"/>
      <c r="Z220" s="71"/>
      <c r="AA220" s="71"/>
      <c r="AB220" s="71">
        <v>1620</v>
      </c>
      <c r="AC220" s="76">
        <f>IFERROR(AD220/E220,0)</f>
        <v>3573.7390777777782</v>
      </c>
      <c r="AD220" s="77">
        <f t="shared" si="49"/>
        <v>32163.651700000002</v>
      </c>
      <c r="AE220" s="48">
        <v>320</v>
      </c>
      <c r="AF220" s="78"/>
      <c r="AG220" s="50">
        <v>80</v>
      </c>
      <c r="AH220" s="79"/>
      <c r="AI220" s="50">
        <v>515</v>
      </c>
      <c r="AJ220" s="50">
        <v>780</v>
      </c>
      <c r="AK220" s="50">
        <f>360+300</f>
        <v>660</v>
      </c>
      <c r="AL220" s="76"/>
      <c r="AM220" s="72"/>
      <c r="AN220" s="52">
        <v>2</v>
      </c>
      <c r="AO220" s="50"/>
      <c r="AP220" s="76"/>
      <c r="AQ220" s="52">
        <v>152</v>
      </c>
      <c r="AR220" s="82">
        <f t="shared" si="50"/>
        <v>3886.9700000000003</v>
      </c>
      <c r="AS220" s="83">
        <f>AR220*E220</f>
        <v>34982.730000000003</v>
      </c>
      <c r="AT220" s="74">
        <f t="shared" si="51"/>
        <v>313.23092222222203</v>
      </c>
      <c r="AU220" s="73">
        <f>IFERROR(AT220*E220,0)</f>
        <v>2819.0782999999983</v>
      </c>
      <c r="AV220" s="72" t="str">
        <f>D220</f>
        <v>M30</v>
      </c>
      <c r="AW220" s="72">
        <f>P220/E220</f>
        <v>254.55555555555554</v>
      </c>
      <c r="AX220" s="72">
        <f>Q220/E220</f>
        <v>121.66666666666667</v>
      </c>
      <c r="AY220" s="72">
        <f>R220/E220</f>
        <v>0</v>
      </c>
      <c r="AZ220" s="72">
        <f>S220/E220</f>
        <v>0</v>
      </c>
      <c r="BA220" s="72">
        <f>T220/E220</f>
        <v>483.33333333333331</v>
      </c>
      <c r="BB220" s="72">
        <f>U220/E220</f>
        <v>745</v>
      </c>
      <c r="BC220" s="72">
        <f>V220/E220</f>
        <v>691.88888888888891</v>
      </c>
      <c r="BD220" s="72"/>
      <c r="BE220" s="72">
        <f>X220/E220</f>
        <v>1.9122222222222223</v>
      </c>
      <c r="BF220" s="72">
        <f>Y220/E220</f>
        <v>0</v>
      </c>
      <c r="BG220" s="72">
        <f>AB220/E220</f>
        <v>180</v>
      </c>
      <c r="BH220" s="84">
        <f>Z220/E220</f>
        <v>0</v>
      </c>
      <c r="BI220" s="72"/>
      <c r="BJ220" s="72">
        <f t="shared" si="48"/>
        <v>2478.3566666666666</v>
      </c>
    </row>
    <row r="221" spans="1:62" ht="18.75">
      <c r="A221" s="36">
        <v>45744</v>
      </c>
      <c r="B221" s="37" t="s">
        <v>63</v>
      </c>
      <c r="C221" s="72"/>
      <c r="D221" s="39" t="s">
        <v>40</v>
      </c>
      <c r="E221" s="40">
        <v>33</v>
      </c>
      <c r="F221" s="73"/>
      <c r="G221" s="37" t="s">
        <v>64</v>
      </c>
      <c r="H221" s="42">
        <v>5700</v>
      </c>
      <c r="I221" s="72">
        <f t="shared" si="39"/>
        <v>3533.3622000000005</v>
      </c>
      <c r="J221" s="74">
        <f t="shared" si="40"/>
        <v>3181.9273827586212</v>
      </c>
      <c r="K221" s="74">
        <f t="shared" si="41"/>
        <v>2166.6377999999995</v>
      </c>
      <c r="L221" s="74">
        <f t="shared" si="42"/>
        <v>2518.0726172413788</v>
      </c>
      <c r="M221" s="74">
        <f t="shared" si="43"/>
        <v>0.55823287416817913</v>
      </c>
      <c r="N221" s="74">
        <f t="shared" si="44"/>
        <v>0.61988810526315796</v>
      </c>
      <c r="O221" s="75">
        <f t="shared" si="45"/>
        <v>0.11044715198267584</v>
      </c>
      <c r="P221" s="71">
        <v>4317.3103448275861</v>
      </c>
      <c r="Q221" s="71">
        <v>6281.379310344827</v>
      </c>
      <c r="R221" s="71">
        <v>0</v>
      </c>
      <c r="S221" s="71">
        <v>0</v>
      </c>
      <c r="T221" s="71">
        <v>16251.931034482759</v>
      </c>
      <c r="U221" s="71">
        <v>24134.948275862069</v>
      </c>
      <c r="V221" s="71">
        <v>25689.362068965518</v>
      </c>
      <c r="W221" s="71">
        <v>0</v>
      </c>
      <c r="X221" s="71">
        <v>42.422068965517241</v>
      </c>
      <c r="Y221" s="71">
        <v>0</v>
      </c>
      <c r="Z221" s="71">
        <v>0</v>
      </c>
      <c r="AA221" s="71">
        <v>0</v>
      </c>
      <c r="AB221" s="71">
        <v>5725.5</v>
      </c>
      <c r="AC221" s="76">
        <f>IFERROR(AD221/E221,0)</f>
        <v>3181.9273827586212</v>
      </c>
      <c r="AD221" s="77">
        <f t="shared" si="49"/>
        <v>105003.60363103449</v>
      </c>
      <c r="AE221" s="48">
        <v>216</v>
      </c>
      <c r="AF221" s="78"/>
      <c r="AG221" s="50">
        <v>144</v>
      </c>
      <c r="AH221" s="79"/>
      <c r="AI221" s="50">
        <v>495</v>
      </c>
      <c r="AJ221" s="50">
        <v>743</v>
      </c>
      <c r="AK221" s="50">
        <v>775</v>
      </c>
      <c r="AL221" s="76"/>
      <c r="AM221" s="72"/>
      <c r="AN221" s="52"/>
      <c r="AO221" s="50">
        <v>2.16</v>
      </c>
      <c r="AP221" s="76"/>
      <c r="AQ221" s="52">
        <v>155</v>
      </c>
      <c r="AR221" s="82">
        <f t="shared" si="50"/>
        <v>3533.3622000000005</v>
      </c>
      <c r="AS221" s="83">
        <f>AR221*E221</f>
        <v>116600.95260000002</v>
      </c>
      <c r="AT221" s="74">
        <f t="shared" si="51"/>
        <v>351.43481724137928</v>
      </c>
      <c r="AU221" s="73">
        <f>IFERROR(AT221*E221,0)</f>
        <v>11597.348968965516</v>
      </c>
      <c r="AV221" s="72" t="str">
        <f>D221</f>
        <v>M25</v>
      </c>
      <c r="AW221" s="72">
        <f>P221/E221</f>
        <v>130.82758620689654</v>
      </c>
      <c r="AX221" s="72">
        <f>Q221/E221</f>
        <v>190.34482758620689</v>
      </c>
      <c r="AY221" s="72">
        <f>R221/E221</f>
        <v>0</v>
      </c>
      <c r="AZ221" s="72">
        <f>S221/E221</f>
        <v>0</v>
      </c>
      <c r="BA221" s="72">
        <f>T221/E221</f>
        <v>492.48275862068965</v>
      </c>
      <c r="BB221" s="72">
        <f>U221/E221</f>
        <v>731.36206896551721</v>
      </c>
      <c r="BC221" s="72">
        <f>V221/E221</f>
        <v>778.4655172413793</v>
      </c>
      <c r="BD221" s="72"/>
      <c r="BE221" s="72">
        <f>X221/E221</f>
        <v>1.2855172413793103</v>
      </c>
      <c r="BF221" s="72">
        <f>Y221/E221</f>
        <v>0</v>
      </c>
      <c r="BG221" s="72">
        <f>AB221/E221</f>
        <v>173.5</v>
      </c>
      <c r="BH221" s="84">
        <f>Z221/E221</f>
        <v>0</v>
      </c>
      <c r="BI221" s="72"/>
      <c r="BJ221" s="72">
        <f t="shared" si="48"/>
        <v>2498.2682758620685</v>
      </c>
    </row>
    <row r="222" spans="1:62" ht="18.75">
      <c r="A222" s="36">
        <v>45744</v>
      </c>
      <c r="B222" s="37" t="s">
        <v>55</v>
      </c>
      <c r="C222" s="72"/>
      <c r="D222" s="39" t="s">
        <v>40</v>
      </c>
      <c r="E222" s="40">
        <v>13</v>
      </c>
      <c r="F222" s="73"/>
      <c r="G222" s="37" t="s">
        <v>41</v>
      </c>
      <c r="H222" s="42">
        <v>5900</v>
      </c>
      <c r="I222" s="72">
        <f t="shared" si="39"/>
        <v>3452.0828000000001</v>
      </c>
      <c r="J222" s="74">
        <f t="shared" si="40"/>
        <v>3181.9273827586212</v>
      </c>
      <c r="K222" s="74">
        <f t="shared" si="41"/>
        <v>2447.9171999999999</v>
      </c>
      <c r="L222" s="74">
        <f t="shared" si="42"/>
        <v>2718.0726172413788</v>
      </c>
      <c r="M222" s="74">
        <f t="shared" si="43"/>
        <v>0.53930972589129178</v>
      </c>
      <c r="N222" s="74">
        <f t="shared" si="44"/>
        <v>0.58509877966101698</v>
      </c>
      <c r="O222" s="75">
        <f t="shared" si="45"/>
        <v>8.4903074377254709E-2</v>
      </c>
      <c r="P222" s="71">
        <v>1700.7586206896551</v>
      </c>
      <c r="Q222" s="71">
        <v>2474.4827586206898</v>
      </c>
      <c r="R222" s="71">
        <v>0</v>
      </c>
      <c r="S222" s="71">
        <v>0</v>
      </c>
      <c r="T222" s="71">
        <v>6402.2758620689656</v>
      </c>
      <c r="U222" s="71">
        <v>9507.7068965517246</v>
      </c>
      <c r="V222" s="71">
        <v>10120.051724137931</v>
      </c>
      <c r="W222" s="71">
        <v>0</v>
      </c>
      <c r="X222" s="71">
        <v>16.711724137931036</v>
      </c>
      <c r="Y222" s="71">
        <v>0</v>
      </c>
      <c r="Z222" s="71">
        <v>0</v>
      </c>
      <c r="AA222" s="71">
        <v>0</v>
      </c>
      <c r="AB222" s="71">
        <v>2255.5</v>
      </c>
      <c r="AC222" s="76">
        <f>IFERROR(AD222/E222,0)</f>
        <v>3181.9273827586212</v>
      </c>
      <c r="AD222" s="77">
        <f t="shared" si="49"/>
        <v>41365.055975862073</v>
      </c>
      <c r="AE222" s="48">
        <v>224</v>
      </c>
      <c r="AF222" s="78"/>
      <c r="AG222" s="50">
        <v>96</v>
      </c>
      <c r="AH222" s="79"/>
      <c r="AI222" s="50">
        <v>495</v>
      </c>
      <c r="AJ222" s="50">
        <v>740</v>
      </c>
      <c r="AK222" s="50">
        <v>800</v>
      </c>
      <c r="AL222" s="76"/>
      <c r="AM222" s="72"/>
      <c r="AN222" s="52"/>
      <c r="AO222" s="50">
        <v>2.2400000000000002</v>
      </c>
      <c r="AP222" s="76"/>
      <c r="AQ222" s="52">
        <v>155</v>
      </c>
      <c r="AR222" s="82">
        <f t="shared" si="50"/>
        <v>3452.0828000000001</v>
      </c>
      <c r="AS222" s="83">
        <f>AR222*E222</f>
        <v>44877.076400000005</v>
      </c>
      <c r="AT222" s="74">
        <f t="shared" si="51"/>
        <v>270.15541724137893</v>
      </c>
      <c r="AU222" s="73">
        <f>IFERROR(AT222*E222,0)</f>
        <v>3512.0204241379261</v>
      </c>
      <c r="AV222" s="72" t="str">
        <f>D222</f>
        <v>M25</v>
      </c>
      <c r="AW222" s="72">
        <f>P222/E222</f>
        <v>130.82758620689654</v>
      </c>
      <c r="AX222" s="72">
        <f>Q222/E222</f>
        <v>190.34482758620692</v>
      </c>
      <c r="AY222" s="72">
        <f>R222/E222</f>
        <v>0</v>
      </c>
      <c r="AZ222" s="72">
        <f>S222/E222</f>
        <v>0</v>
      </c>
      <c r="BA222" s="72">
        <f>T222/E222</f>
        <v>492.48275862068965</v>
      </c>
      <c r="BB222" s="72">
        <f>U222/E222</f>
        <v>731.36206896551732</v>
      </c>
      <c r="BC222" s="72">
        <f>V222/E222</f>
        <v>778.4655172413793</v>
      </c>
      <c r="BD222" s="72"/>
      <c r="BE222" s="72">
        <f>X222/E222</f>
        <v>1.2855172413793103</v>
      </c>
      <c r="BF222" s="72">
        <f>Y222/E222</f>
        <v>0</v>
      </c>
      <c r="BG222" s="72">
        <f>AB222/E222</f>
        <v>173.5</v>
      </c>
      <c r="BH222" s="84">
        <f>Z222/E222</f>
        <v>0</v>
      </c>
      <c r="BI222" s="72"/>
      <c r="BJ222" s="72">
        <f t="shared" si="48"/>
        <v>2498.268275862069</v>
      </c>
    </row>
    <row r="223" spans="1:62" ht="18.75">
      <c r="A223" s="36">
        <v>45744</v>
      </c>
      <c r="B223" s="37" t="s">
        <v>55</v>
      </c>
      <c r="C223" s="72"/>
      <c r="D223" s="39" t="s">
        <v>40</v>
      </c>
      <c r="E223" s="40">
        <v>20</v>
      </c>
      <c r="F223" s="73"/>
      <c r="G223" s="37" t="s">
        <v>41</v>
      </c>
      <c r="H223" s="42">
        <v>5900</v>
      </c>
      <c r="I223" s="72">
        <f t="shared" si="39"/>
        <v>3452.0828000000001</v>
      </c>
      <c r="J223" s="74">
        <f t="shared" si="40"/>
        <v>3335.2350350000006</v>
      </c>
      <c r="K223" s="74">
        <f t="shared" si="41"/>
        <v>2447.9171999999999</v>
      </c>
      <c r="L223" s="74">
        <f t="shared" si="42"/>
        <v>2564.7649649999994</v>
      </c>
      <c r="M223" s="74">
        <f t="shared" si="43"/>
        <v>0.56529407372881368</v>
      </c>
      <c r="N223" s="74">
        <f t="shared" si="44"/>
        <v>0.58509877966101698</v>
      </c>
      <c r="O223" s="75">
        <f t="shared" si="45"/>
        <v>3.5034342040005405E-2</v>
      </c>
      <c r="P223" s="71">
        <v>4013</v>
      </c>
      <c r="Q223" s="71">
        <v>2415</v>
      </c>
      <c r="R223" s="71"/>
      <c r="S223" s="71"/>
      <c r="T223" s="71">
        <v>9822</v>
      </c>
      <c r="U223" s="71">
        <v>14840</v>
      </c>
      <c r="V223" s="71">
        <f>7690+7679</f>
        <v>15369</v>
      </c>
      <c r="W223" s="71"/>
      <c r="X223" s="71">
        <v>26.01</v>
      </c>
      <c r="Y223" s="71"/>
      <c r="Z223" s="71"/>
      <c r="AA223" s="71"/>
      <c r="AB223" s="71">
        <v>3461</v>
      </c>
      <c r="AC223" s="76">
        <f>IFERROR(AD223/E223,0)</f>
        <v>3335.2350350000006</v>
      </c>
      <c r="AD223" s="77">
        <f t="shared" si="49"/>
        <v>66704.700700000016</v>
      </c>
      <c r="AE223" s="48">
        <v>224</v>
      </c>
      <c r="AF223" s="78"/>
      <c r="AG223" s="50">
        <v>96</v>
      </c>
      <c r="AH223" s="79"/>
      <c r="AI223" s="50">
        <v>495</v>
      </c>
      <c r="AJ223" s="50">
        <v>740</v>
      </c>
      <c r="AK223" s="50">
        <v>800</v>
      </c>
      <c r="AL223" s="76"/>
      <c r="AM223" s="72"/>
      <c r="AN223" s="52"/>
      <c r="AO223" s="50">
        <v>2.2400000000000002</v>
      </c>
      <c r="AP223" s="76"/>
      <c r="AQ223" s="52">
        <v>155</v>
      </c>
      <c r="AR223" s="82">
        <f t="shared" si="50"/>
        <v>3452.0828000000001</v>
      </c>
      <c r="AS223" s="83">
        <f>AR223*E223</f>
        <v>69041.656000000003</v>
      </c>
      <c r="AT223" s="74">
        <f t="shared" si="51"/>
        <v>116.84776499999953</v>
      </c>
      <c r="AU223" s="73">
        <f>IFERROR(AT223*E223,0)</f>
        <v>2336.9552999999905</v>
      </c>
      <c r="AV223" s="72" t="str">
        <f>D223</f>
        <v>M25</v>
      </c>
      <c r="AW223" s="72">
        <f>P223/E223</f>
        <v>200.65</v>
      </c>
      <c r="AX223" s="72">
        <f>Q223/E223</f>
        <v>120.75</v>
      </c>
      <c r="AY223" s="72">
        <f>R223/E223</f>
        <v>0</v>
      </c>
      <c r="AZ223" s="72">
        <f>S223/E223</f>
        <v>0</v>
      </c>
      <c r="BA223" s="72">
        <f>T223/E223</f>
        <v>491.1</v>
      </c>
      <c r="BB223" s="72">
        <f>U223/E223</f>
        <v>742</v>
      </c>
      <c r="BC223" s="72">
        <f>V223/E223</f>
        <v>768.45</v>
      </c>
      <c r="BD223" s="72"/>
      <c r="BE223" s="72">
        <f>X223/E223</f>
        <v>1.3005</v>
      </c>
      <c r="BF223" s="72">
        <f>Y223/E223</f>
        <v>0</v>
      </c>
      <c r="BG223" s="72">
        <f>AB223/E223</f>
        <v>173.05</v>
      </c>
      <c r="BH223" s="84">
        <f>Z223/E223</f>
        <v>0</v>
      </c>
      <c r="BI223" s="72"/>
      <c r="BJ223" s="72">
        <f t="shared" si="48"/>
        <v>2497.3004999999998</v>
      </c>
    </row>
    <row r="224" spans="1:62" ht="18.75">
      <c r="A224" s="36">
        <v>45744</v>
      </c>
      <c r="B224" s="37" t="s">
        <v>76</v>
      </c>
      <c r="C224" s="72"/>
      <c r="D224" s="39" t="s">
        <v>43</v>
      </c>
      <c r="E224" s="40">
        <v>3</v>
      </c>
      <c r="F224" s="73"/>
      <c r="G224" s="37" t="s">
        <v>77</v>
      </c>
      <c r="H224" s="42">
        <v>5800</v>
      </c>
      <c r="I224" s="72">
        <f t="shared" si="39"/>
        <v>3611.0944</v>
      </c>
      <c r="J224" s="74">
        <f t="shared" si="40"/>
        <v>3498.3149666666664</v>
      </c>
      <c r="K224" s="74">
        <f t="shared" si="41"/>
        <v>2188.9056</v>
      </c>
      <c r="L224" s="74">
        <f t="shared" si="42"/>
        <v>2301.6850333333336</v>
      </c>
      <c r="M224" s="74">
        <f t="shared" si="43"/>
        <v>0.60315775287356321</v>
      </c>
      <c r="N224" s="74">
        <f t="shared" si="44"/>
        <v>0.62260248275862073</v>
      </c>
      <c r="O224" s="75">
        <f t="shared" si="45"/>
        <v>3.2238215943372971E-2</v>
      </c>
      <c r="P224" s="71">
        <v>696</v>
      </c>
      <c r="Q224" s="71">
        <v>394</v>
      </c>
      <c r="R224" s="71"/>
      <c r="S224" s="71"/>
      <c r="T224" s="71">
        <v>1486</v>
      </c>
      <c r="U224" s="71">
        <v>2227</v>
      </c>
      <c r="V224" s="71">
        <f>1111+1034</f>
        <v>2145</v>
      </c>
      <c r="W224" s="71"/>
      <c r="X224" s="71">
        <v>4.67</v>
      </c>
      <c r="Y224" s="71"/>
      <c r="Z224" s="71"/>
      <c r="AA224" s="71"/>
      <c r="AB224" s="71">
        <v>515</v>
      </c>
      <c r="AC224" s="76">
        <f>IFERROR(AD224/E224,0)</f>
        <v>3498.3149666666664</v>
      </c>
      <c r="AD224" s="77">
        <f t="shared" si="49"/>
        <v>10494.944899999999</v>
      </c>
      <c r="AE224" s="50">
        <v>252</v>
      </c>
      <c r="AF224" s="78"/>
      <c r="AG224" s="50">
        <v>108</v>
      </c>
      <c r="AH224" s="79"/>
      <c r="AI224" s="50">
        <v>525</v>
      </c>
      <c r="AJ224" s="50">
        <v>760</v>
      </c>
      <c r="AK224" s="50">
        <f t="shared" ref="AK224" si="53">350+360</f>
        <v>710</v>
      </c>
      <c r="AL224" s="76"/>
      <c r="AM224" s="72"/>
      <c r="AN224" s="52"/>
      <c r="AO224" s="50">
        <v>2.52</v>
      </c>
      <c r="AP224" s="76"/>
      <c r="AQ224" s="52">
        <v>155</v>
      </c>
      <c r="AR224" s="82">
        <f t="shared" si="50"/>
        <v>3611.0944</v>
      </c>
      <c r="AS224" s="83">
        <f>AR224*E224</f>
        <v>10833.2832</v>
      </c>
      <c r="AT224" s="74">
        <f t="shared" si="51"/>
        <v>112.7794333333336</v>
      </c>
      <c r="AU224" s="73">
        <f>IFERROR(AT224*E224,0)</f>
        <v>338.3383000000008</v>
      </c>
      <c r="AV224" s="72" t="str">
        <f>D224</f>
        <v>M30</v>
      </c>
      <c r="AW224" s="72">
        <f>P224/E224</f>
        <v>232</v>
      </c>
      <c r="AX224" s="72">
        <f>Q224/E224</f>
        <v>131.33333333333334</v>
      </c>
      <c r="AY224" s="72">
        <f>R224/E224</f>
        <v>0</v>
      </c>
      <c r="AZ224" s="72">
        <f>S224/E224</f>
        <v>0</v>
      </c>
      <c r="BA224" s="72">
        <f>T224/E224</f>
        <v>495.33333333333331</v>
      </c>
      <c r="BB224" s="72">
        <f>U224/E224</f>
        <v>742.33333333333337</v>
      </c>
      <c r="BC224" s="72">
        <f>V224/E224</f>
        <v>715</v>
      </c>
      <c r="BD224" s="72"/>
      <c r="BE224" s="72">
        <f>X224/E224</f>
        <v>1.5566666666666666</v>
      </c>
      <c r="BF224" s="72">
        <f>Y224/E224</f>
        <v>0</v>
      </c>
      <c r="BG224" s="72">
        <f>AB224/E224</f>
        <v>171.66666666666666</v>
      </c>
      <c r="BH224" s="84">
        <f>Z224/E224</f>
        <v>0</v>
      </c>
      <c r="BI224" s="72"/>
      <c r="BJ224" s="72">
        <f t="shared" si="48"/>
        <v>2489.2233333333334</v>
      </c>
    </row>
    <row r="225" spans="1:62" ht="18.75">
      <c r="A225" s="36">
        <v>45744</v>
      </c>
      <c r="B225" s="37" t="s">
        <v>36</v>
      </c>
      <c r="C225" s="72"/>
      <c r="D225" s="39" t="s">
        <v>43</v>
      </c>
      <c r="E225" s="66">
        <v>4</v>
      </c>
      <c r="F225" s="73"/>
      <c r="G225" s="37" t="s">
        <v>44</v>
      </c>
      <c r="H225" s="42">
        <v>5800</v>
      </c>
      <c r="I225" s="72">
        <f t="shared" si="39"/>
        <v>3627.3514</v>
      </c>
      <c r="J225" s="74">
        <f t="shared" si="40"/>
        <v>3307.812117647059</v>
      </c>
      <c r="K225" s="74">
        <f t="shared" si="41"/>
        <v>2172.6486</v>
      </c>
      <c r="L225" s="74">
        <f t="shared" si="42"/>
        <v>2492.187882352941</v>
      </c>
      <c r="M225" s="74">
        <f t="shared" si="43"/>
        <v>0.5703124340770791</v>
      </c>
      <c r="N225" s="74">
        <f t="shared" si="44"/>
        <v>0.62540541379310344</v>
      </c>
      <c r="O225" s="75">
        <f t="shared" si="45"/>
        <v>9.6601400257351547E-2</v>
      </c>
      <c r="P225" s="71">
        <v>579.05882352941171</v>
      </c>
      <c r="Q225" s="71">
        <v>866.58823529411768</v>
      </c>
      <c r="R225" s="71">
        <v>0</v>
      </c>
      <c r="S225" s="71">
        <v>0</v>
      </c>
      <c r="T225" s="71">
        <v>1985.8823529411766</v>
      </c>
      <c r="U225" s="71">
        <v>2968.4705882352941</v>
      </c>
      <c r="V225" s="71">
        <v>2908.9411764705883</v>
      </c>
      <c r="W225" s="71">
        <v>0</v>
      </c>
      <c r="X225" s="71">
        <v>5.6235294117647054</v>
      </c>
      <c r="Y225" s="71">
        <v>0</v>
      </c>
      <c r="Z225" s="71">
        <v>0</v>
      </c>
      <c r="AA225" s="71">
        <v>0</v>
      </c>
      <c r="AB225" s="71">
        <v>713.41176470588232</v>
      </c>
      <c r="AC225" s="76">
        <f>IFERROR(AD225/E225,0)</f>
        <v>3307.812117647059</v>
      </c>
      <c r="AD225" s="77">
        <f t="shared" si="49"/>
        <v>13231.248470588236</v>
      </c>
      <c r="AE225" s="48">
        <v>252</v>
      </c>
      <c r="AF225" s="78"/>
      <c r="AG225" s="50">
        <v>108</v>
      </c>
      <c r="AH225" s="79"/>
      <c r="AI225" s="50">
        <v>495</v>
      </c>
      <c r="AJ225" s="50">
        <v>743</v>
      </c>
      <c r="AK225" s="50">
        <f>300+475</f>
        <v>775</v>
      </c>
      <c r="AL225" s="76"/>
      <c r="AM225" s="72"/>
      <c r="AN225" s="52"/>
      <c r="AO225" s="50">
        <v>2.52</v>
      </c>
      <c r="AP225" s="76"/>
      <c r="AQ225" s="52">
        <v>150</v>
      </c>
      <c r="AR225" s="82">
        <f t="shared" si="50"/>
        <v>3627.3514</v>
      </c>
      <c r="AS225" s="83">
        <f>AR225*E225</f>
        <v>14509.4056</v>
      </c>
      <c r="AT225" s="74">
        <f t="shared" si="51"/>
        <v>319.53928235294097</v>
      </c>
      <c r="AU225" s="73">
        <f>IFERROR(AT225*E225,0)</f>
        <v>1278.1571294117639</v>
      </c>
      <c r="AV225" s="72" t="str">
        <f>D225</f>
        <v>M30</v>
      </c>
      <c r="AW225" s="72">
        <f>P225/E225</f>
        <v>144.76470588235293</v>
      </c>
      <c r="AX225" s="72">
        <f>Q225/E225</f>
        <v>216.64705882352942</v>
      </c>
      <c r="AY225" s="72">
        <f>R225/E225</f>
        <v>0</v>
      </c>
      <c r="AZ225" s="72">
        <f>S225/E225</f>
        <v>0</v>
      </c>
      <c r="BA225" s="72">
        <f>T225/E225</f>
        <v>496.47058823529414</v>
      </c>
      <c r="BB225" s="72">
        <f>U225/E225</f>
        <v>742.11764705882354</v>
      </c>
      <c r="BC225" s="72">
        <f>V225/E225</f>
        <v>727.23529411764707</v>
      </c>
      <c r="BD225" s="72"/>
      <c r="BE225" s="72">
        <f>X225/E225</f>
        <v>1.4058823529411764</v>
      </c>
      <c r="BF225" s="72">
        <f>Y225/E225</f>
        <v>0</v>
      </c>
      <c r="BG225" s="72">
        <f>AB225/E225</f>
        <v>178.35294117647058</v>
      </c>
      <c r="BH225" s="84">
        <f>Z225/E225</f>
        <v>0</v>
      </c>
      <c r="BI225" s="72"/>
      <c r="BJ225" s="72">
        <f t="shared" si="48"/>
        <v>2506.9941176470588</v>
      </c>
    </row>
    <row r="226" spans="1:62" ht="18.75">
      <c r="A226" s="36">
        <v>45744</v>
      </c>
      <c r="B226" s="37" t="s">
        <v>117</v>
      </c>
      <c r="C226" s="72"/>
      <c r="D226" s="39" t="s">
        <v>109</v>
      </c>
      <c r="E226" s="66">
        <v>9.5</v>
      </c>
      <c r="F226" s="73"/>
      <c r="G226" s="37" t="s">
        <v>110</v>
      </c>
      <c r="H226" s="42">
        <v>6050</v>
      </c>
      <c r="I226" s="72">
        <f t="shared" si="39"/>
        <v>3991.7089999999998</v>
      </c>
      <c r="J226" s="74">
        <f t="shared" si="40"/>
        <v>3798.4878842105268</v>
      </c>
      <c r="K226" s="74">
        <f t="shared" si="41"/>
        <v>2058.2910000000002</v>
      </c>
      <c r="L226" s="74">
        <f t="shared" si="42"/>
        <v>2251.5121157894732</v>
      </c>
      <c r="M226" s="74">
        <f t="shared" si="43"/>
        <v>0.62784923705959117</v>
      </c>
      <c r="N226" s="74">
        <f t="shared" si="44"/>
        <v>0.65978661157024787</v>
      </c>
      <c r="O226" s="75">
        <f t="shared" si="45"/>
        <v>5.0867903670997729E-2</v>
      </c>
      <c r="P226" s="71">
        <f>1118+1543</f>
        <v>2661</v>
      </c>
      <c r="Q226" s="71">
        <v>1432</v>
      </c>
      <c r="R226" s="71"/>
      <c r="S226" s="71"/>
      <c r="T226" s="71">
        <v>4782</v>
      </c>
      <c r="U226" s="71">
        <v>7209</v>
      </c>
      <c r="V226" s="71">
        <f>3118+3074</f>
        <v>6192</v>
      </c>
      <c r="W226" s="71"/>
      <c r="X226" s="71">
        <v>19.87</v>
      </c>
      <c r="Y226" s="71"/>
      <c r="Z226" s="71"/>
      <c r="AA226" s="71"/>
      <c r="AB226" s="71">
        <v>1670</v>
      </c>
      <c r="AC226" s="76">
        <f>IFERROR(AD226/E226,0)</f>
        <v>3798.4878842105268</v>
      </c>
      <c r="AD226" s="77">
        <f t="shared" si="49"/>
        <v>36085.634900000005</v>
      </c>
      <c r="AE226" s="48">
        <v>308</v>
      </c>
      <c r="AF226" s="78"/>
      <c r="AG226" s="50">
        <v>132</v>
      </c>
      <c r="AH226" s="79"/>
      <c r="AI226" s="50">
        <v>507</v>
      </c>
      <c r="AJ226" s="50">
        <v>732</v>
      </c>
      <c r="AK226" s="50">
        <f>345+400</f>
        <v>745</v>
      </c>
      <c r="AL226" s="76"/>
      <c r="AM226" s="72"/>
      <c r="AN226" s="52"/>
      <c r="AO226" s="50">
        <v>3.1</v>
      </c>
      <c r="AP226" s="76"/>
      <c r="AQ226" s="52">
        <v>132</v>
      </c>
      <c r="AR226" s="82">
        <f t="shared" si="50"/>
        <v>3991.7089999999998</v>
      </c>
      <c r="AS226" s="83">
        <f>AR226*E226</f>
        <v>37921.235499999995</v>
      </c>
      <c r="AT226" s="74">
        <f t="shared" si="51"/>
        <v>193.22111578947306</v>
      </c>
      <c r="AU226" s="73">
        <f>IFERROR(AT226*E226,0)</f>
        <v>1835.6005999999941</v>
      </c>
      <c r="AV226" s="72" t="str">
        <f>D226</f>
        <v>M40</v>
      </c>
      <c r="AW226" s="72">
        <f>P226/E226</f>
        <v>280.10526315789474</v>
      </c>
      <c r="AX226" s="72">
        <f>Q226/E226</f>
        <v>150.73684210526315</v>
      </c>
      <c r="AY226" s="72">
        <f>R226/E226</f>
        <v>0</v>
      </c>
      <c r="AZ226" s="72">
        <f>S226/E226</f>
        <v>0</v>
      </c>
      <c r="BA226" s="72">
        <f>T226/E226</f>
        <v>503.36842105263156</v>
      </c>
      <c r="BB226" s="72">
        <f>U226/E226</f>
        <v>758.84210526315792</v>
      </c>
      <c r="BC226" s="72">
        <f>V226/E226</f>
        <v>651.78947368421052</v>
      </c>
      <c r="BD226" s="72"/>
      <c r="BE226" s="72">
        <f>X226/E226</f>
        <v>2.0915789473684212</v>
      </c>
      <c r="BF226" s="72">
        <f>Y226/E226</f>
        <v>0</v>
      </c>
      <c r="BG226" s="72">
        <f>AB226/E226</f>
        <v>175.78947368421052</v>
      </c>
      <c r="BH226" s="84">
        <f>Z226/E226</f>
        <v>0</v>
      </c>
      <c r="BI226" s="72"/>
      <c r="BJ226" s="72">
        <f t="shared" si="48"/>
        <v>2522.7231578947367</v>
      </c>
    </row>
    <row r="227" spans="1:62" ht="18.75">
      <c r="A227" s="36">
        <v>45744</v>
      </c>
      <c r="B227" s="65" t="s">
        <v>47</v>
      </c>
      <c r="C227" s="72"/>
      <c r="D227" s="39" t="s">
        <v>48</v>
      </c>
      <c r="E227" s="66">
        <v>18</v>
      </c>
      <c r="F227" s="73"/>
      <c r="G227" s="37" t="s">
        <v>49</v>
      </c>
      <c r="H227" s="42">
        <v>6600</v>
      </c>
      <c r="I227" s="72">
        <f t="shared" si="39"/>
        <v>4390.09</v>
      </c>
      <c r="J227" s="74">
        <f t="shared" si="40"/>
        <v>4261.7963333333346</v>
      </c>
      <c r="K227" s="74">
        <f t="shared" si="41"/>
        <v>2209.91</v>
      </c>
      <c r="L227" s="74">
        <f t="shared" si="42"/>
        <v>2338.2036666666654</v>
      </c>
      <c r="M227" s="74">
        <f t="shared" si="43"/>
        <v>0.64572671717171737</v>
      </c>
      <c r="N227" s="74">
        <f t="shared" si="44"/>
        <v>0.66516515151515154</v>
      </c>
      <c r="O227" s="75">
        <f t="shared" si="45"/>
        <v>3.0103190446532094E-2</v>
      </c>
      <c r="P227" s="71">
        <v>6842</v>
      </c>
      <c r="Q227" s="71">
        <v>2171</v>
      </c>
      <c r="R227" s="71"/>
      <c r="S227" s="71"/>
      <c r="T227" s="71">
        <v>8913</v>
      </c>
      <c r="U227" s="71">
        <v>13661</v>
      </c>
      <c r="V227" s="71">
        <f>5164+5224</f>
        <v>10388</v>
      </c>
      <c r="W227" s="71"/>
      <c r="X227" s="71"/>
      <c r="Y227" s="71">
        <v>49.43</v>
      </c>
      <c r="Z227" s="71"/>
      <c r="AA227" s="71"/>
      <c r="AB227" s="71">
        <v>3252</v>
      </c>
      <c r="AC227" s="76">
        <f>IFERROR(AD227/E227,0)</f>
        <v>4261.7963333333346</v>
      </c>
      <c r="AD227" s="77">
        <f t="shared" si="49"/>
        <v>76712.334000000017</v>
      </c>
      <c r="AE227" s="48">
        <v>400</v>
      </c>
      <c r="AF227" s="78"/>
      <c r="AG227" s="50">
        <v>100</v>
      </c>
      <c r="AH227" s="79"/>
      <c r="AI227" s="50">
        <v>510</v>
      </c>
      <c r="AJ227" s="50">
        <v>750</v>
      </c>
      <c r="AK227" s="50">
        <f>295+300</f>
        <v>595</v>
      </c>
      <c r="AL227" s="76"/>
      <c r="AM227" s="72"/>
      <c r="AN227" s="52">
        <v>3.5</v>
      </c>
      <c r="AO227" s="50"/>
      <c r="AP227" s="76"/>
      <c r="AQ227" s="52">
        <v>150</v>
      </c>
      <c r="AR227" s="82">
        <f t="shared" si="50"/>
        <v>4390.09</v>
      </c>
      <c r="AS227" s="83">
        <f>AR227*E227</f>
        <v>79021.62</v>
      </c>
      <c r="AT227" s="74">
        <f t="shared" si="51"/>
        <v>128.29366666666556</v>
      </c>
      <c r="AU227" s="73">
        <f>IFERROR(AT227*E227,0)</f>
        <v>2309.28599999998</v>
      </c>
      <c r="AV227" s="72" t="str">
        <f>D227</f>
        <v>M50</v>
      </c>
      <c r="AW227" s="72">
        <f>P227/E227</f>
        <v>380.11111111111109</v>
      </c>
      <c r="AX227" s="72">
        <f>Q227/E227</f>
        <v>120.61111111111111</v>
      </c>
      <c r="AY227" s="72">
        <f>R227/E227</f>
        <v>0</v>
      </c>
      <c r="AZ227" s="72">
        <f>S227/E227</f>
        <v>0</v>
      </c>
      <c r="BA227" s="72">
        <f>T227/E227</f>
        <v>495.16666666666669</v>
      </c>
      <c r="BB227" s="72">
        <f>U227/E227</f>
        <v>758.94444444444446</v>
      </c>
      <c r="BC227" s="72">
        <f>V227/E227</f>
        <v>577.11111111111109</v>
      </c>
      <c r="BD227" s="72"/>
      <c r="BE227" s="72">
        <f>X227/E227</f>
        <v>0</v>
      </c>
      <c r="BF227" s="72">
        <f>Y227/E227</f>
        <v>2.7461111111111109</v>
      </c>
      <c r="BG227" s="72">
        <f>AB227/E227</f>
        <v>180.66666666666666</v>
      </c>
      <c r="BH227" s="84">
        <f>Z227/E227</f>
        <v>0</v>
      </c>
      <c r="BI227" s="72"/>
      <c r="BJ227" s="72">
        <f t="shared" si="48"/>
        <v>2515.3572222222219</v>
      </c>
    </row>
    <row r="228" spans="1:62" ht="18.75">
      <c r="A228" s="36">
        <v>45745</v>
      </c>
      <c r="B228" s="37" t="s">
        <v>63</v>
      </c>
      <c r="C228" s="72"/>
      <c r="D228" s="39" t="s">
        <v>40</v>
      </c>
      <c r="E228" s="40">
        <v>16.5</v>
      </c>
      <c r="F228" s="73"/>
      <c r="G228" s="37" t="s">
        <v>64</v>
      </c>
      <c r="H228" s="42">
        <v>5700</v>
      </c>
      <c r="I228" s="72">
        <f t="shared" si="39"/>
        <v>3532.5630000000006</v>
      </c>
      <c r="J228" s="74">
        <f t="shared" si="40"/>
        <v>3186.8218792452835</v>
      </c>
      <c r="K228" s="74">
        <f t="shared" si="41"/>
        <v>2167.4369999999994</v>
      </c>
      <c r="L228" s="74">
        <f t="shared" si="42"/>
        <v>2513.1781207547165</v>
      </c>
      <c r="M228" s="74">
        <f t="shared" si="43"/>
        <v>0.55909155776233044</v>
      </c>
      <c r="N228" s="74">
        <f t="shared" si="44"/>
        <v>0.61974789473684222</v>
      </c>
      <c r="O228" s="75">
        <f t="shared" si="45"/>
        <v>0.10849088334883562</v>
      </c>
      <c r="P228" s="71">
        <v>2147.4905660377358</v>
      </c>
      <c r="Q228" s="71">
        <v>3151.8113207547171</v>
      </c>
      <c r="R228" s="71">
        <v>0</v>
      </c>
      <c r="S228" s="71">
        <v>0</v>
      </c>
      <c r="T228" s="71">
        <v>8147.2641509433961</v>
      </c>
      <c r="U228" s="71">
        <v>12208.132075471698</v>
      </c>
      <c r="V228" s="71">
        <v>12830.773584905661</v>
      </c>
      <c r="W228" s="71">
        <v>0</v>
      </c>
      <c r="X228" s="71">
        <v>20.572075471698113</v>
      </c>
      <c r="Y228" s="71">
        <v>0</v>
      </c>
      <c r="Z228" s="71">
        <v>0</v>
      </c>
      <c r="AA228" s="71">
        <v>0</v>
      </c>
      <c r="AB228" s="71">
        <v>2836.132075471698</v>
      </c>
      <c r="AC228" s="76">
        <f>IFERROR(AD228/E228,0)</f>
        <v>3186.8218792452835</v>
      </c>
      <c r="AD228" s="77">
        <f t="shared" si="49"/>
        <v>52582.561007547178</v>
      </c>
      <c r="AE228" s="48">
        <v>216</v>
      </c>
      <c r="AF228" s="78"/>
      <c r="AG228" s="50">
        <v>144</v>
      </c>
      <c r="AH228" s="79"/>
      <c r="AI228" s="50">
        <v>495</v>
      </c>
      <c r="AJ228" s="50">
        <v>743</v>
      </c>
      <c r="AK228" s="50">
        <v>775</v>
      </c>
      <c r="AL228" s="76"/>
      <c r="AM228" s="50">
        <v>2.16</v>
      </c>
      <c r="AN228" s="52"/>
      <c r="AO228" s="50"/>
      <c r="AP228" s="76"/>
      <c r="AQ228" s="52">
        <v>155</v>
      </c>
      <c r="AR228" s="82">
        <f t="shared" si="50"/>
        <v>3532.5630000000006</v>
      </c>
      <c r="AS228" s="83">
        <f>AR228*E228</f>
        <v>58287.289500000006</v>
      </c>
      <c r="AT228" s="74">
        <f t="shared" si="51"/>
        <v>345.74112075471703</v>
      </c>
      <c r="AU228" s="73">
        <f>IFERROR(AT228*E228,0)</f>
        <v>5704.7284924528312</v>
      </c>
      <c r="AV228" s="72" t="str">
        <f>D228</f>
        <v>M25</v>
      </c>
      <c r="AW228" s="72">
        <f>P228/E228</f>
        <v>130.15094339622641</v>
      </c>
      <c r="AX228" s="72">
        <f>Q228/E228</f>
        <v>191.01886792452831</v>
      </c>
      <c r="AY228" s="72">
        <f>R228/E228</f>
        <v>0</v>
      </c>
      <c r="AZ228" s="72">
        <f>S228/E228</f>
        <v>0</v>
      </c>
      <c r="BA228" s="72">
        <f>T228/E228</f>
        <v>493.77358490566036</v>
      </c>
      <c r="BB228" s="72">
        <f>U228/E228</f>
        <v>739.88679245283015</v>
      </c>
      <c r="BC228" s="72">
        <f>V228/E228</f>
        <v>777.62264150943395</v>
      </c>
      <c r="BD228" s="72"/>
      <c r="BE228" s="72">
        <f>X228/E228</f>
        <v>1.2467924528301886</v>
      </c>
      <c r="BF228" s="72">
        <f>Y228/E228</f>
        <v>0</v>
      </c>
      <c r="BG228" s="72">
        <f>AB228/E228</f>
        <v>171.88679245283018</v>
      </c>
      <c r="BH228" s="84">
        <f>Z228/E228</f>
        <v>0</v>
      </c>
      <c r="BI228" s="72"/>
      <c r="BJ228" s="72">
        <f t="shared" si="48"/>
        <v>2505.5864150943394</v>
      </c>
    </row>
    <row r="229" spans="1:62" ht="18.75">
      <c r="A229" s="36">
        <v>45745</v>
      </c>
      <c r="B229" s="37" t="s">
        <v>118</v>
      </c>
      <c r="C229" s="72"/>
      <c r="D229" s="39" t="s">
        <v>40</v>
      </c>
      <c r="E229" s="66">
        <v>12</v>
      </c>
      <c r="F229" s="73"/>
      <c r="G229" s="37" t="s">
        <v>119</v>
      </c>
      <c r="H229" s="42">
        <v>5350</v>
      </c>
      <c r="I229" s="72">
        <f t="shared" si="39"/>
        <v>3434.9939999999997</v>
      </c>
      <c r="J229" s="74">
        <f t="shared" si="40"/>
        <v>3186.8218792452831</v>
      </c>
      <c r="K229" s="74">
        <f t="shared" si="41"/>
        <v>1915.0060000000003</v>
      </c>
      <c r="L229" s="74">
        <f t="shared" si="42"/>
        <v>2163.1781207547169</v>
      </c>
      <c r="M229" s="74">
        <f t="shared" si="43"/>
        <v>0.59566764098042679</v>
      </c>
      <c r="N229" s="74">
        <f t="shared" si="44"/>
        <v>0.64205495327102802</v>
      </c>
      <c r="O229" s="75">
        <f t="shared" si="45"/>
        <v>7.7874487548544674E-2</v>
      </c>
      <c r="P229" s="71">
        <v>1561.8113207547169</v>
      </c>
      <c r="Q229" s="71">
        <v>2292.2264150943397</v>
      </c>
      <c r="R229" s="71">
        <v>0</v>
      </c>
      <c r="S229" s="71">
        <v>0</v>
      </c>
      <c r="T229" s="71">
        <v>5925.2830188679245</v>
      </c>
      <c r="U229" s="71">
        <v>8878.6415094339609</v>
      </c>
      <c r="V229" s="71">
        <v>9331.4716981132078</v>
      </c>
      <c r="W229" s="71">
        <v>0</v>
      </c>
      <c r="X229" s="71">
        <v>14.961509433962263</v>
      </c>
      <c r="Y229" s="71">
        <v>0</v>
      </c>
      <c r="Z229" s="71">
        <v>0</v>
      </c>
      <c r="AA229" s="71">
        <v>0</v>
      </c>
      <c r="AB229" s="71">
        <v>2062.6415094339623</v>
      </c>
      <c r="AC229" s="76">
        <f>IFERROR(AD229/E229,0)</f>
        <v>3186.8218792452831</v>
      </c>
      <c r="AD229" s="77">
        <f t="shared" si="49"/>
        <v>38241.862550943399</v>
      </c>
      <c r="AE229" s="48">
        <v>238</v>
      </c>
      <c r="AF229" s="78"/>
      <c r="AG229" s="50">
        <v>102</v>
      </c>
      <c r="AH229" s="79"/>
      <c r="AI229" s="50">
        <v>472</v>
      </c>
      <c r="AJ229" s="50">
        <v>716</v>
      </c>
      <c r="AK229" s="50">
        <f>359+350</f>
        <v>709</v>
      </c>
      <c r="AL229" s="76"/>
      <c r="AM229" s="50">
        <v>2.64</v>
      </c>
      <c r="AN229" s="52"/>
      <c r="AO229" s="50"/>
      <c r="AP229" s="76"/>
      <c r="AQ229" s="52">
        <v>168</v>
      </c>
      <c r="AR229" s="82">
        <f t="shared" si="50"/>
        <v>3434.9939999999997</v>
      </c>
      <c r="AS229" s="83">
        <f>AR229*E229</f>
        <v>41219.928</v>
      </c>
      <c r="AT229" s="74">
        <f t="shared" si="51"/>
        <v>248.17212075471662</v>
      </c>
      <c r="AU229" s="73">
        <f>IFERROR(AT229*E229,0)</f>
        <v>2978.0654490565994</v>
      </c>
      <c r="AV229" s="72" t="str">
        <f>D229</f>
        <v>M25</v>
      </c>
      <c r="AW229" s="72">
        <f>P229/E229</f>
        <v>130.15094339622641</v>
      </c>
      <c r="AX229" s="72">
        <f>Q229/E229</f>
        <v>191.01886792452831</v>
      </c>
      <c r="AY229" s="72">
        <f>R229/E229</f>
        <v>0</v>
      </c>
      <c r="AZ229" s="72">
        <f>S229/E229</f>
        <v>0</v>
      </c>
      <c r="BA229" s="72">
        <f>T229/E229</f>
        <v>493.77358490566036</v>
      </c>
      <c r="BB229" s="72">
        <f>U229/E229</f>
        <v>739.88679245283004</v>
      </c>
      <c r="BC229" s="72">
        <f>V229/E229</f>
        <v>777.62264150943395</v>
      </c>
      <c r="BD229" s="72"/>
      <c r="BE229" s="72">
        <f>X229/E229</f>
        <v>1.2467924528301886</v>
      </c>
      <c r="BF229" s="72">
        <f>Y229/E229</f>
        <v>0</v>
      </c>
      <c r="BG229" s="72">
        <f>AB229/E229</f>
        <v>171.88679245283018</v>
      </c>
      <c r="BH229" s="84">
        <f>Z229/E229</f>
        <v>0</v>
      </c>
      <c r="BI229" s="72"/>
      <c r="BJ229" s="72">
        <f t="shared" si="48"/>
        <v>2505.5864150943394</v>
      </c>
    </row>
    <row r="230" spans="1:62" ht="18.75">
      <c r="A230" s="36">
        <v>45745</v>
      </c>
      <c r="B230" s="37" t="s">
        <v>47</v>
      </c>
      <c r="C230" s="72"/>
      <c r="D230" s="39" t="s">
        <v>43</v>
      </c>
      <c r="E230" s="66">
        <v>28</v>
      </c>
      <c r="F230" s="73"/>
      <c r="G230" s="37" t="s">
        <v>78</v>
      </c>
      <c r="H230" s="42">
        <v>5700</v>
      </c>
      <c r="I230" s="72">
        <f t="shared" si="39"/>
        <v>3886.9700000000003</v>
      </c>
      <c r="J230" s="74">
        <f t="shared" si="40"/>
        <v>3646.1565571428573</v>
      </c>
      <c r="K230" s="74">
        <f t="shared" si="41"/>
        <v>1813.0299999999997</v>
      </c>
      <c r="L230" s="74">
        <f t="shared" si="42"/>
        <v>2053.8434428571427</v>
      </c>
      <c r="M230" s="74">
        <f t="shared" si="43"/>
        <v>0.63967658897243107</v>
      </c>
      <c r="N230" s="74">
        <f t="shared" si="44"/>
        <v>0.68192456140350877</v>
      </c>
      <c r="O230" s="75">
        <f t="shared" si="45"/>
        <v>6.604583184597132E-2</v>
      </c>
      <c r="P230" s="71">
        <v>7561</v>
      </c>
      <c r="Q230" s="71">
        <v>3105</v>
      </c>
      <c r="R230" s="71">
        <v>0</v>
      </c>
      <c r="S230" s="71">
        <v>0</v>
      </c>
      <c r="T230" s="71">
        <v>13908</v>
      </c>
      <c r="U230" s="71">
        <v>20916</v>
      </c>
      <c r="V230" s="71">
        <f>9995+9703</f>
        <v>19698</v>
      </c>
      <c r="W230" s="71">
        <v>0</v>
      </c>
      <c r="X230" s="71">
        <v>53.38</v>
      </c>
      <c r="Y230" s="71">
        <v>0</v>
      </c>
      <c r="Z230" s="71">
        <v>0</v>
      </c>
      <c r="AA230" s="71">
        <v>0</v>
      </c>
      <c r="AB230" s="71">
        <v>4942</v>
      </c>
      <c r="AC230" s="76">
        <f>IFERROR(AD230/E230,0)</f>
        <v>3646.1565571428573</v>
      </c>
      <c r="AD230" s="77">
        <f t="shared" si="49"/>
        <v>102092.3836</v>
      </c>
      <c r="AE230" s="48">
        <v>320</v>
      </c>
      <c r="AF230" s="78"/>
      <c r="AG230" s="50">
        <v>80</v>
      </c>
      <c r="AH230" s="79"/>
      <c r="AI230" s="50">
        <v>515</v>
      </c>
      <c r="AJ230" s="50">
        <v>780</v>
      </c>
      <c r="AK230" s="50">
        <f>360+300</f>
        <v>660</v>
      </c>
      <c r="AL230" s="76"/>
      <c r="AM230" s="72"/>
      <c r="AN230" s="52">
        <v>2</v>
      </c>
      <c r="AO230" s="50"/>
      <c r="AP230" s="76"/>
      <c r="AQ230" s="52">
        <v>152</v>
      </c>
      <c r="AR230" s="82">
        <f t="shared" si="50"/>
        <v>3886.9700000000003</v>
      </c>
      <c r="AS230" s="83">
        <f>AR230*E230</f>
        <v>108835.16</v>
      </c>
      <c r="AT230" s="74">
        <f t="shared" si="51"/>
        <v>240.81344285714295</v>
      </c>
      <c r="AU230" s="73">
        <f>IFERROR(AT230*E230,0)</f>
        <v>6742.7764000000025</v>
      </c>
      <c r="AV230" s="72" t="str">
        <f>D230</f>
        <v>M30</v>
      </c>
      <c r="AW230" s="72">
        <f>P230/E230</f>
        <v>270.03571428571428</v>
      </c>
      <c r="AX230" s="72">
        <f>Q230/E230</f>
        <v>110.89285714285714</v>
      </c>
      <c r="AY230" s="72">
        <f>R230/E230</f>
        <v>0</v>
      </c>
      <c r="AZ230" s="72">
        <f>S230/E230</f>
        <v>0</v>
      </c>
      <c r="BA230" s="72">
        <f>T230/E230</f>
        <v>496.71428571428572</v>
      </c>
      <c r="BB230" s="72">
        <f>U230/E230</f>
        <v>747</v>
      </c>
      <c r="BC230" s="72">
        <f>V230/E230</f>
        <v>703.5</v>
      </c>
      <c r="BD230" s="72"/>
      <c r="BE230" s="72">
        <f>X230/E230</f>
        <v>1.9064285714285716</v>
      </c>
      <c r="BF230" s="72">
        <f>Y230/E230</f>
        <v>0</v>
      </c>
      <c r="BG230" s="72">
        <f>AB230/E230</f>
        <v>176.5</v>
      </c>
      <c r="BH230" s="84">
        <f>Z230/E230</f>
        <v>0</v>
      </c>
      <c r="BI230" s="72"/>
      <c r="BJ230" s="72">
        <f t="shared" si="48"/>
        <v>2506.5492857142854</v>
      </c>
    </row>
    <row r="231" spans="1:62" ht="18.75">
      <c r="A231" s="36">
        <v>45745</v>
      </c>
      <c r="B231" s="37" t="s">
        <v>47</v>
      </c>
      <c r="C231" s="72"/>
      <c r="D231" s="39" t="s">
        <v>43</v>
      </c>
      <c r="E231" s="66">
        <v>27</v>
      </c>
      <c r="F231" s="73"/>
      <c r="G231" s="37" t="s">
        <v>78</v>
      </c>
      <c r="H231" s="42">
        <v>5700</v>
      </c>
      <c r="I231" s="72">
        <f t="shared" ref="I231:I255" si="54">AR231</f>
        <v>3886.9700000000003</v>
      </c>
      <c r="J231" s="74">
        <f t="shared" ref="J231:J255" si="55">AC231</f>
        <v>3323.9842794871797</v>
      </c>
      <c r="K231" s="74">
        <f t="shared" ref="K231:K255" si="56">H231-I231</f>
        <v>1813.0299999999997</v>
      </c>
      <c r="L231" s="74">
        <f t="shared" ref="L231:L255" si="57">H231-J231</f>
        <v>2376.0157205128203</v>
      </c>
      <c r="M231" s="74">
        <f t="shared" ref="M231:M255" si="58">($J231)/($H231)</f>
        <v>0.58315513675213682</v>
      </c>
      <c r="N231" s="74">
        <f t="shared" ref="N231:N255" si="59">I231/H231</f>
        <v>0.68192456140350877</v>
      </c>
      <c r="O231" s="75">
        <f t="shared" ref="O231:O255" si="60">IFERROR((N231-M231)/M231,0)</f>
        <v>0.16937075304088889</v>
      </c>
      <c r="P231" s="71">
        <v>4005.6923076923076</v>
      </c>
      <c r="Q231" s="71">
        <v>5847.9230769230771</v>
      </c>
      <c r="R231" s="71">
        <v>0</v>
      </c>
      <c r="S231" s="71">
        <v>0</v>
      </c>
      <c r="T231" s="71">
        <v>13484.076923076924</v>
      </c>
      <c r="U231" s="71">
        <v>19903.846153846152</v>
      </c>
      <c r="V231" s="71">
        <v>19654.615384615383</v>
      </c>
      <c r="W231" s="71">
        <v>0</v>
      </c>
      <c r="X231" s="71">
        <v>37.571538461538466</v>
      </c>
      <c r="Y231" s="71">
        <v>0</v>
      </c>
      <c r="Z231" s="71">
        <v>0</v>
      </c>
      <c r="AA231" s="71">
        <v>0</v>
      </c>
      <c r="AB231" s="71">
        <v>4626.6923076923076</v>
      </c>
      <c r="AC231" s="76">
        <f>IFERROR(AD231/E231,0)</f>
        <v>3323.9842794871797</v>
      </c>
      <c r="AD231" s="77">
        <f t="shared" si="49"/>
        <v>89747.57554615385</v>
      </c>
      <c r="AE231" s="48">
        <v>320</v>
      </c>
      <c r="AF231" s="78"/>
      <c r="AG231" s="50">
        <v>80</v>
      </c>
      <c r="AH231" s="79"/>
      <c r="AI231" s="50">
        <v>515</v>
      </c>
      <c r="AJ231" s="50">
        <v>780</v>
      </c>
      <c r="AK231" s="50">
        <f>360+300</f>
        <v>660</v>
      </c>
      <c r="AL231" s="76"/>
      <c r="AM231" s="72"/>
      <c r="AN231" s="52">
        <v>2</v>
      </c>
      <c r="AO231" s="50"/>
      <c r="AP231" s="76"/>
      <c r="AQ231" s="52">
        <v>152</v>
      </c>
      <c r="AR231" s="82">
        <f t="shared" si="50"/>
        <v>3886.9700000000003</v>
      </c>
      <c r="AS231" s="83">
        <f>AR231*E231</f>
        <v>104948.19</v>
      </c>
      <c r="AT231" s="74">
        <f t="shared" si="51"/>
        <v>562.98572051282054</v>
      </c>
      <c r="AU231" s="73">
        <f>IFERROR(AT231*E231,0)</f>
        <v>15200.614453846154</v>
      </c>
      <c r="AV231" s="72" t="str">
        <f>D231</f>
        <v>M30</v>
      </c>
      <c r="AW231" s="72">
        <f>P231/E231</f>
        <v>148.35897435897436</v>
      </c>
      <c r="AX231" s="72">
        <f>Q231/E231</f>
        <v>216.58974358974359</v>
      </c>
      <c r="AY231" s="72">
        <f>R231/E231</f>
        <v>0</v>
      </c>
      <c r="AZ231" s="72">
        <f>S231/E231</f>
        <v>0</v>
      </c>
      <c r="BA231" s="72">
        <f>T231/E231</f>
        <v>499.41025641025641</v>
      </c>
      <c r="BB231" s="72">
        <f>U231/E231</f>
        <v>737.17948717948718</v>
      </c>
      <c r="BC231" s="72">
        <f>V231/E231</f>
        <v>727.9487179487179</v>
      </c>
      <c r="BD231" s="72"/>
      <c r="BE231" s="72">
        <f>X231/E231</f>
        <v>1.3915384615384616</v>
      </c>
      <c r="BF231" s="72">
        <f>Y231/E231</f>
        <v>0</v>
      </c>
      <c r="BG231" s="72">
        <f>AB231/E231</f>
        <v>171.35897435897436</v>
      </c>
      <c r="BH231" s="84">
        <f>Z231/E231</f>
        <v>0</v>
      </c>
      <c r="BI231" s="72"/>
      <c r="BJ231" s="72">
        <f t="shared" si="48"/>
        <v>2502.2376923076918</v>
      </c>
    </row>
    <row r="232" spans="1:62" ht="18.75">
      <c r="A232" s="36">
        <v>45745</v>
      </c>
      <c r="B232" s="37" t="s">
        <v>57</v>
      </c>
      <c r="C232" s="72"/>
      <c r="D232" s="39" t="s">
        <v>43</v>
      </c>
      <c r="E232" s="40">
        <v>12</v>
      </c>
      <c r="F232" s="73"/>
      <c r="G232" s="37" t="s">
        <v>58</v>
      </c>
      <c r="H232" s="42">
        <v>5700</v>
      </c>
      <c r="I232" s="72">
        <f t="shared" si="54"/>
        <v>3720.4300000000003</v>
      </c>
      <c r="J232" s="74">
        <f t="shared" si="55"/>
        <v>3323.9842794871788</v>
      </c>
      <c r="K232" s="74">
        <f t="shared" si="56"/>
        <v>1979.5699999999997</v>
      </c>
      <c r="L232" s="74">
        <f t="shared" si="57"/>
        <v>2376.0157205128212</v>
      </c>
      <c r="M232" s="74">
        <f t="shared" si="58"/>
        <v>0.58315513675213659</v>
      </c>
      <c r="N232" s="74">
        <f t="shared" si="59"/>
        <v>0.65270701754385974</v>
      </c>
      <c r="O232" s="75">
        <f t="shared" si="60"/>
        <v>0.11926822968428274</v>
      </c>
      <c r="P232" s="71">
        <v>1780.3076923076924</v>
      </c>
      <c r="Q232" s="71">
        <v>2599.0769230769229</v>
      </c>
      <c r="R232" s="71">
        <v>0</v>
      </c>
      <c r="S232" s="71">
        <v>0</v>
      </c>
      <c r="T232" s="71">
        <v>5992.9230769230771</v>
      </c>
      <c r="U232" s="71">
        <v>8846.1538461538457</v>
      </c>
      <c r="V232" s="71">
        <v>8735.3846153846152</v>
      </c>
      <c r="W232" s="71">
        <v>0</v>
      </c>
      <c r="X232" s="71">
        <v>16.69846153846154</v>
      </c>
      <c r="Y232" s="71">
        <v>0</v>
      </c>
      <c r="Z232" s="71">
        <v>0</v>
      </c>
      <c r="AA232" s="71">
        <v>0</v>
      </c>
      <c r="AB232" s="71">
        <v>2056.3076923076924</v>
      </c>
      <c r="AC232" s="76">
        <f>IFERROR(AD232/E232,0)</f>
        <v>3323.9842794871788</v>
      </c>
      <c r="AD232" s="77">
        <f t="shared" si="49"/>
        <v>39887.811353846148</v>
      </c>
      <c r="AE232" s="48">
        <v>270</v>
      </c>
      <c r="AF232" s="78"/>
      <c r="AG232" s="50">
        <v>110</v>
      </c>
      <c r="AH232" s="79"/>
      <c r="AI232" s="50">
        <v>515</v>
      </c>
      <c r="AJ232" s="50">
        <v>750</v>
      </c>
      <c r="AK232" s="50">
        <f>300+350</f>
        <v>650</v>
      </c>
      <c r="AL232" s="76"/>
      <c r="AM232" s="72"/>
      <c r="AN232" s="52">
        <v>2.54</v>
      </c>
      <c r="AO232" s="50"/>
      <c r="AP232" s="76"/>
      <c r="AQ232" s="52">
        <v>150</v>
      </c>
      <c r="AR232" s="82">
        <f t="shared" si="50"/>
        <v>3720.4300000000003</v>
      </c>
      <c r="AS232" s="83">
        <f>AR232*E232</f>
        <v>44645.16</v>
      </c>
      <c r="AT232" s="74">
        <f t="shared" si="51"/>
        <v>396.44572051282148</v>
      </c>
      <c r="AU232" s="73">
        <f>IFERROR(AT232*E232,0)</f>
        <v>4757.3486461538578</v>
      </c>
      <c r="AV232" s="72" t="str">
        <f>D232</f>
        <v>M30</v>
      </c>
      <c r="AW232" s="72">
        <f>P232/E232</f>
        <v>148.35897435897436</v>
      </c>
      <c r="AX232" s="72">
        <f>Q232/E232</f>
        <v>216.58974358974356</v>
      </c>
      <c r="AY232" s="72">
        <f>R232/E232</f>
        <v>0</v>
      </c>
      <c r="AZ232" s="72">
        <f>S232/E232</f>
        <v>0</v>
      </c>
      <c r="BA232" s="72">
        <f>T232/E232</f>
        <v>499.41025641025641</v>
      </c>
      <c r="BB232" s="72">
        <f>U232/E232</f>
        <v>737.17948717948718</v>
      </c>
      <c r="BC232" s="72">
        <f>V232/E232</f>
        <v>727.9487179487179</v>
      </c>
      <c r="BD232" s="72"/>
      <c r="BE232" s="72">
        <f>X232/E232</f>
        <v>1.3915384615384616</v>
      </c>
      <c r="BF232" s="72">
        <f>Y232/E232</f>
        <v>0</v>
      </c>
      <c r="BG232" s="72">
        <f>AB232/E232</f>
        <v>171.35897435897436</v>
      </c>
      <c r="BH232" s="84">
        <f>Z232/E232</f>
        <v>0</v>
      </c>
      <c r="BI232" s="72"/>
      <c r="BJ232" s="72">
        <f t="shared" si="48"/>
        <v>2502.2376923076918</v>
      </c>
    </row>
    <row r="233" spans="1:62" ht="18.75">
      <c r="A233" s="36">
        <v>45745</v>
      </c>
      <c r="B233" s="37" t="s">
        <v>57</v>
      </c>
      <c r="C233" s="72"/>
      <c r="D233" s="39" t="s">
        <v>43</v>
      </c>
      <c r="E233" s="40">
        <v>27</v>
      </c>
      <c r="F233" s="73"/>
      <c r="G233" s="37" t="s">
        <v>58</v>
      </c>
      <c r="H233" s="42">
        <v>5700</v>
      </c>
      <c r="I233" s="72">
        <f t="shared" si="54"/>
        <v>3720.4300000000003</v>
      </c>
      <c r="J233" s="74">
        <f t="shared" si="55"/>
        <v>3547.4548384615387</v>
      </c>
      <c r="K233" s="74">
        <f t="shared" si="56"/>
        <v>1979.5699999999997</v>
      </c>
      <c r="L233" s="74">
        <f t="shared" si="57"/>
        <v>2152.5451615384613</v>
      </c>
      <c r="M233" s="74">
        <f t="shared" si="58"/>
        <v>0.62236049797570858</v>
      </c>
      <c r="N233" s="74">
        <f t="shared" si="59"/>
        <v>0.65270701754385974</v>
      </c>
      <c r="O233" s="75">
        <f t="shared" si="60"/>
        <v>4.8760356203287843E-2</v>
      </c>
      <c r="P233" s="71">
        <v>6747.4038461538466</v>
      </c>
      <c r="Q233" s="71">
        <v>2994.4038461538462</v>
      </c>
      <c r="R233" s="71">
        <v>0</v>
      </c>
      <c r="S233" s="71">
        <v>0</v>
      </c>
      <c r="T233" s="71">
        <v>13410.173076923076</v>
      </c>
      <c r="U233" s="71">
        <v>20187.692307692309</v>
      </c>
      <c r="V233" s="71">
        <v>19321.615384615387</v>
      </c>
      <c r="W233" s="71">
        <v>0</v>
      </c>
      <c r="X233" s="71">
        <v>48.485769230769229</v>
      </c>
      <c r="Y233" s="71">
        <v>0</v>
      </c>
      <c r="Z233" s="71">
        <v>0</v>
      </c>
      <c r="AA233" s="71">
        <v>0</v>
      </c>
      <c r="AB233" s="71">
        <v>4780.5576923076924</v>
      </c>
      <c r="AC233" s="76">
        <f>IFERROR(AD233/E233,0)</f>
        <v>3547.4548384615387</v>
      </c>
      <c r="AD233" s="77">
        <f t="shared" si="49"/>
        <v>95781.28063846154</v>
      </c>
      <c r="AE233" s="48">
        <v>270</v>
      </c>
      <c r="AF233" s="78"/>
      <c r="AG233" s="50">
        <v>110</v>
      </c>
      <c r="AH233" s="79"/>
      <c r="AI233" s="50">
        <v>515</v>
      </c>
      <c r="AJ233" s="50">
        <v>750</v>
      </c>
      <c r="AK233" s="50">
        <f>300+350</f>
        <v>650</v>
      </c>
      <c r="AL233" s="76"/>
      <c r="AM233" s="72"/>
      <c r="AN233" s="52">
        <v>2.54</v>
      </c>
      <c r="AO233" s="50"/>
      <c r="AP233" s="76"/>
      <c r="AQ233" s="52">
        <v>150</v>
      </c>
      <c r="AR233" s="82">
        <f t="shared" si="50"/>
        <v>3720.4300000000003</v>
      </c>
      <c r="AS233" s="83">
        <f>AR233*E233</f>
        <v>100451.61000000002</v>
      </c>
      <c r="AT233" s="74">
        <f t="shared" si="51"/>
        <v>172.97516153846163</v>
      </c>
      <c r="AU233" s="73">
        <f>IFERROR(AT233*E233,0)</f>
        <v>4670.3293615384646</v>
      </c>
      <c r="AV233" s="72" t="str">
        <f>D233</f>
        <v>M30</v>
      </c>
      <c r="AW233" s="72">
        <f>P233/E233</f>
        <v>249.90384615384616</v>
      </c>
      <c r="AX233" s="72">
        <f>Q233/E233</f>
        <v>110.90384615384616</v>
      </c>
      <c r="AY233" s="72">
        <f>R233/E233</f>
        <v>0</v>
      </c>
      <c r="AZ233" s="72">
        <f>S233/E233</f>
        <v>0</v>
      </c>
      <c r="BA233" s="72">
        <f>T233/E233</f>
        <v>496.67307692307691</v>
      </c>
      <c r="BB233" s="72">
        <f>U233/E233</f>
        <v>747.69230769230774</v>
      </c>
      <c r="BC233" s="72">
        <f>V233/E233</f>
        <v>715.61538461538464</v>
      </c>
      <c r="BD233" s="72"/>
      <c r="BE233" s="72">
        <f>X233/E233</f>
        <v>1.7957692307692308</v>
      </c>
      <c r="BF233" s="72">
        <f>Y233/E233</f>
        <v>0</v>
      </c>
      <c r="BG233" s="72">
        <f>AB233/E233</f>
        <v>177.05769230769232</v>
      </c>
      <c r="BH233" s="84">
        <f>Z233/E233</f>
        <v>0</v>
      </c>
      <c r="BI233" s="72"/>
      <c r="BJ233" s="72">
        <f t="shared" si="48"/>
        <v>2499.6419230769234</v>
      </c>
    </row>
    <row r="234" spans="1:62" ht="18.75">
      <c r="A234" s="36">
        <v>45745</v>
      </c>
      <c r="B234" s="65" t="s">
        <v>120</v>
      </c>
      <c r="C234" s="72"/>
      <c r="D234" s="39" t="s">
        <v>43</v>
      </c>
      <c r="E234" s="66">
        <v>25</v>
      </c>
      <c r="F234" s="73"/>
      <c r="G234" s="37" t="s">
        <v>44</v>
      </c>
      <c r="H234" s="42">
        <v>5700</v>
      </c>
      <c r="I234" s="72">
        <f t="shared" si="54"/>
        <v>3708.5709999999999</v>
      </c>
      <c r="J234" s="74">
        <f t="shared" si="55"/>
        <v>3547.4548384615396</v>
      </c>
      <c r="K234" s="74">
        <f t="shared" si="56"/>
        <v>1991.4290000000001</v>
      </c>
      <c r="L234" s="74">
        <f t="shared" si="57"/>
        <v>2152.5451615384604</v>
      </c>
      <c r="M234" s="74">
        <f t="shared" si="58"/>
        <v>0.62236049797570869</v>
      </c>
      <c r="N234" s="74">
        <f t="shared" si="59"/>
        <v>0.65062649122807015</v>
      </c>
      <c r="O234" s="75">
        <f t="shared" si="60"/>
        <v>4.5417396098080605E-2</v>
      </c>
      <c r="P234" s="71">
        <v>6247.5961538461543</v>
      </c>
      <c r="Q234" s="71">
        <v>2772.5961538461538</v>
      </c>
      <c r="R234" s="71">
        <v>0</v>
      </c>
      <c r="S234" s="71">
        <v>0</v>
      </c>
      <c r="T234" s="71">
        <v>12416.826923076922</v>
      </c>
      <c r="U234" s="71">
        <v>18692.307692307695</v>
      </c>
      <c r="V234" s="71">
        <v>17890.384615384617</v>
      </c>
      <c r="W234" s="71">
        <v>0</v>
      </c>
      <c r="X234" s="71">
        <v>44.894230769230766</v>
      </c>
      <c r="Y234" s="71">
        <v>0</v>
      </c>
      <c r="Z234" s="71">
        <v>0</v>
      </c>
      <c r="AA234" s="71">
        <v>0</v>
      </c>
      <c r="AB234" s="71">
        <v>4426.4423076923076</v>
      </c>
      <c r="AC234" s="76">
        <f>IFERROR(AD234/E234,0)</f>
        <v>3547.4548384615396</v>
      </c>
      <c r="AD234" s="77">
        <f t="shared" si="49"/>
        <v>88686.370961538487</v>
      </c>
      <c r="AE234" s="48">
        <v>252</v>
      </c>
      <c r="AF234" s="78"/>
      <c r="AG234" s="50">
        <v>108</v>
      </c>
      <c r="AH234" s="79"/>
      <c r="AI234" s="50">
        <v>495</v>
      </c>
      <c r="AJ234" s="50">
        <v>743</v>
      </c>
      <c r="AK234" s="50">
        <f>300+475</f>
        <v>775</v>
      </c>
      <c r="AL234" s="76"/>
      <c r="AM234" s="72"/>
      <c r="AN234" s="52">
        <v>2.52</v>
      </c>
      <c r="AO234" s="50"/>
      <c r="AP234" s="76"/>
      <c r="AQ234" s="52">
        <v>150</v>
      </c>
      <c r="AR234" s="82">
        <f t="shared" si="50"/>
        <v>3708.5709999999999</v>
      </c>
      <c r="AS234" s="83">
        <f>AR234*E234</f>
        <v>92714.274999999994</v>
      </c>
      <c r="AT234" s="74">
        <f t="shared" si="51"/>
        <v>161.11616153846035</v>
      </c>
      <c r="AU234" s="73">
        <f>IFERROR(AT234*E234,0)</f>
        <v>4027.9040384615087</v>
      </c>
      <c r="AV234" s="72" t="str">
        <f>D234</f>
        <v>M30</v>
      </c>
      <c r="AW234" s="72">
        <f>P234/E234</f>
        <v>249.90384615384616</v>
      </c>
      <c r="AX234" s="72">
        <f>Q234/E234</f>
        <v>110.90384615384615</v>
      </c>
      <c r="AY234" s="72">
        <f>R234/E234</f>
        <v>0</v>
      </c>
      <c r="AZ234" s="72">
        <f>S234/E234</f>
        <v>0</v>
      </c>
      <c r="BA234" s="72">
        <f>T234/E234</f>
        <v>496.67307692307691</v>
      </c>
      <c r="BB234" s="72">
        <f>U234/E234</f>
        <v>747.69230769230785</v>
      </c>
      <c r="BC234" s="72">
        <f>V234/E234</f>
        <v>715.61538461538464</v>
      </c>
      <c r="BD234" s="72"/>
      <c r="BE234" s="72">
        <f>X234/E234</f>
        <v>1.7957692307692306</v>
      </c>
      <c r="BF234" s="72">
        <f>Y234/E234</f>
        <v>0</v>
      </c>
      <c r="BG234" s="72">
        <f>AB234/E234</f>
        <v>177.05769230769229</v>
      </c>
      <c r="BH234" s="84">
        <f>Z234/E234</f>
        <v>0</v>
      </c>
      <c r="BI234" s="72"/>
      <c r="BJ234" s="72">
        <f t="shared" si="48"/>
        <v>2499.6419230769234</v>
      </c>
    </row>
    <row r="235" spans="1:62" ht="18.75">
      <c r="A235" s="36">
        <v>45745</v>
      </c>
      <c r="B235" s="65" t="s">
        <v>33</v>
      </c>
      <c r="C235" s="72"/>
      <c r="D235" s="39" t="s">
        <v>43</v>
      </c>
      <c r="E235" s="66">
        <v>16</v>
      </c>
      <c r="F235" s="73"/>
      <c r="G235" s="37" t="s">
        <v>91</v>
      </c>
      <c r="H235" s="42">
        <v>6100</v>
      </c>
      <c r="I235" s="72">
        <f t="shared" si="54"/>
        <v>4185.3300000000008</v>
      </c>
      <c r="J235" s="74">
        <f t="shared" si="55"/>
        <v>3777.8606875</v>
      </c>
      <c r="K235" s="74">
        <f t="shared" si="56"/>
        <v>1914.6699999999992</v>
      </c>
      <c r="L235" s="74">
        <f t="shared" si="57"/>
        <v>2322.1393125</v>
      </c>
      <c r="M235" s="74">
        <f t="shared" si="58"/>
        <v>0.61932142418032787</v>
      </c>
      <c r="N235" s="74">
        <f t="shared" si="59"/>
        <v>0.68611967213114766</v>
      </c>
      <c r="O235" s="75">
        <f t="shared" si="60"/>
        <v>0.10785715678934778</v>
      </c>
      <c r="P235" s="71">
        <v>4643</v>
      </c>
      <c r="Q235" s="71">
        <v>2096</v>
      </c>
      <c r="R235" s="71">
        <v>0</v>
      </c>
      <c r="S235" s="71">
        <v>0</v>
      </c>
      <c r="T235" s="71">
        <v>8088</v>
      </c>
      <c r="U235" s="71">
        <v>12108</v>
      </c>
      <c r="V235" s="71">
        <f>5209+4988</f>
        <v>10197</v>
      </c>
      <c r="W235" s="71">
        <v>0</v>
      </c>
      <c r="X235" s="71">
        <v>33.700000000000003</v>
      </c>
      <c r="Y235" s="71">
        <v>0</v>
      </c>
      <c r="Z235" s="71">
        <v>0</v>
      </c>
      <c r="AA235" s="71">
        <v>0</v>
      </c>
      <c r="AB235" s="71">
        <v>2740</v>
      </c>
      <c r="AC235" s="76">
        <f>IFERROR(AD235/E235,0)</f>
        <v>3777.8606875</v>
      </c>
      <c r="AD235" s="77">
        <f t="shared" si="49"/>
        <v>60445.771000000001</v>
      </c>
      <c r="AE235" s="48">
        <v>420</v>
      </c>
      <c r="AF235" s="78"/>
      <c r="AG235" s="50">
        <v>0</v>
      </c>
      <c r="AH235" s="79"/>
      <c r="AI235" s="50">
        <v>505</v>
      </c>
      <c r="AJ235" s="50">
        <v>760</v>
      </c>
      <c r="AK235" s="50">
        <f>365+300</f>
        <v>665</v>
      </c>
      <c r="AL235" s="76"/>
      <c r="AM235" s="72"/>
      <c r="AN235" s="52">
        <v>2.52</v>
      </c>
      <c r="AO235" s="50"/>
      <c r="AP235" s="76"/>
      <c r="AQ235" s="52">
        <v>170</v>
      </c>
      <c r="AR235" s="82">
        <f t="shared" si="50"/>
        <v>4185.3300000000008</v>
      </c>
      <c r="AS235" s="83">
        <f>AR235*E235</f>
        <v>66965.280000000013</v>
      </c>
      <c r="AT235" s="74">
        <f t="shared" si="51"/>
        <v>407.4693125000008</v>
      </c>
      <c r="AU235" s="73">
        <f>IFERROR(AT235*E235,0)</f>
        <v>6519.5090000000127</v>
      </c>
      <c r="AV235" s="72" t="str">
        <f>D235</f>
        <v>M30</v>
      </c>
      <c r="AW235" s="72">
        <f>P235/E235</f>
        <v>290.1875</v>
      </c>
      <c r="AX235" s="72">
        <f>Q235/E235</f>
        <v>131</v>
      </c>
      <c r="AY235" s="72">
        <f>R235/E235</f>
        <v>0</v>
      </c>
      <c r="AZ235" s="72">
        <f>S235/E235</f>
        <v>0</v>
      </c>
      <c r="BA235" s="72">
        <f>T235/E235</f>
        <v>505.5</v>
      </c>
      <c r="BB235" s="72">
        <f>U235/E235</f>
        <v>756.75</v>
      </c>
      <c r="BC235" s="72">
        <f>V235/E235</f>
        <v>637.3125</v>
      </c>
      <c r="BD235" s="72"/>
      <c r="BE235" s="72">
        <f>X235/E235</f>
        <v>2.1062500000000002</v>
      </c>
      <c r="BF235" s="72">
        <f>Y235/E235</f>
        <v>0</v>
      </c>
      <c r="BG235" s="72">
        <f>AB235/E235</f>
        <v>171.25</v>
      </c>
      <c r="BH235" s="84">
        <f>Z235/E235</f>
        <v>0</v>
      </c>
      <c r="BI235" s="72"/>
      <c r="BJ235" s="72">
        <f t="shared" si="48"/>
        <v>2494.1062499999998</v>
      </c>
    </row>
    <row r="236" spans="1:62" ht="18.75">
      <c r="A236" s="36">
        <v>45745</v>
      </c>
      <c r="B236" s="65" t="s">
        <v>47</v>
      </c>
      <c r="C236" s="72"/>
      <c r="D236" s="39" t="s">
        <v>48</v>
      </c>
      <c r="E236" s="66">
        <v>10</v>
      </c>
      <c r="F236" s="73"/>
      <c r="G236" s="37" t="s">
        <v>49</v>
      </c>
      <c r="H236" s="42">
        <v>6600</v>
      </c>
      <c r="I236" s="72">
        <f t="shared" si="54"/>
        <v>4390.09</v>
      </c>
      <c r="J236" s="74">
        <f t="shared" si="55"/>
        <v>4223.8799000000008</v>
      </c>
      <c r="K236" s="74">
        <f t="shared" si="56"/>
        <v>2209.91</v>
      </c>
      <c r="L236" s="74">
        <f t="shared" si="57"/>
        <v>2376.1200999999992</v>
      </c>
      <c r="M236" s="74">
        <f t="shared" si="58"/>
        <v>0.63998180303030316</v>
      </c>
      <c r="N236" s="74">
        <f t="shared" si="59"/>
        <v>0.66516515151515154</v>
      </c>
      <c r="O236" s="75">
        <f t="shared" si="60"/>
        <v>3.9350100839751448E-2</v>
      </c>
      <c r="P236" s="71">
        <v>3609</v>
      </c>
      <c r="Q236" s="71">
        <v>1410</v>
      </c>
      <c r="R236" s="71"/>
      <c r="S236" s="71"/>
      <c r="T236" s="71">
        <v>4949</v>
      </c>
      <c r="U236" s="71">
        <v>7587</v>
      </c>
      <c r="V236" s="71">
        <f>2866+2949</f>
        <v>5815</v>
      </c>
      <c r="W236" s="71"/>
      <c r="X236" s="71"/>
      <c r="Y236" s="71">
        <v>27.09</v>
      </c>
      <c r="Z236" s="71"/>
      <c r="AA236" s="71"/>
      <c r="AB236" s="71">
        <v>1766</v>
      </c>
      <c r="AC236" s="76">
        <f>IFERROR(AD236/E236,0)</f>
        <v>4223.8799000000008</v>
      </c>
      <c r="AD236" s="77">
        <f t="shared" si="49"/>
        <v>42238.799000000006</v>
      </c>
      <c r="AE236" s="48">
        <v>400</v>
      </c>
      <c r="AF236" s="78"/>
      <c r="AG236" s="50">
        <v>100</v>
      </c>
      <c r="AH236" s="79"/>
      <c r="AI236" s="50">
        <v>510</v>
      </c>
      <c r="AJ236" s="50">
        <v>750</v>
      </c>
      <c r="AK236" s="50">
        <f>295+300</f>
        <v>595</v>
      </c>
      <c r="AL236" s="76"/>
      <c r="AM236" s="72"/>
      <c r="AN236" s="52">
        <v>3.5</v>
      </c>
      <c r="AO236" s="50"/>
      <c r="AP236" s="76"/>
      <c r="AQ236" s="52">
        <v>150</v>
      </c>
      <c r="AR236" s="82">
        <f t="shared" si="50"/>
        <v>4390.09</v>
      </c>
      <c r="AS236" s="83">
        <f>AR236*E236</f>
        <v>43900.9</v>
      </c>
      <c r="AT236" s="74">
        <f t="shared" si="51"/>
        <v>166.21009999999933</v>
      </c>
      <c r="AU236" s="73">
        <f>IFERROR(AT236*E236,0)</f>
        <v>1662.1009999999933</v>
      </c>
      <c r="AV236" s="72" t="str">
        <f>D236</f>
        <v>M50</v>
      </c>
      <c r="AW236" s="72">
        <f>P236/E236</f>
        <v>360.9</v>
      </c>
      <c r="AX236" s="72">
        <f>Q236/E236</f>
        <v>141</v>
      </c>
      <c r="AY236" s="72">
        <f>R236/E236</f>
        <v>0</v>
      </c>
      <c r="AZ236" s="72">
        <f>S236/E236</f>
        <v>0</v>
      </c>
      <c r="BA236" s="72">
        <f>T236/E236</f>
        <v>494.9</v>
      </c>
      <c r="BB236" s="72">
        <f>U236/E236</f>
        <v>758.7</v>
      </c>
      <c r="BC236" s="72">
        <f>V236/E236</f>
        <v>581.5</v>
      </c>
      <c r="BD236" s="72"/>
      <c r="BE236" s="72">
        <f>X236/E236</f>
        <v>0</v>
      </c>
      <c r="BF236" s="72">
        <f>Y236/E236</f>
        <v>2.7090000000000001</v>
      </c>
      <c r="BG236" s="72">
        <f>AB236/E236</f>
        <v>176.6</v>
      </c>
      <c r="BH236" s="84">
        <f>Z236/E236</f>
        <v>0</v>
      </c>
      <c r="BI236" s="72"/>
      <c r="BJ236" s="72">
        <f t="shared" si="48"/>
        <v>2516.3089999999997</v>
      </c>
    </row>
    <row r="237" spans="1:62" ht="18.75">
      <c r="A237" s="36">
        <v>45746</v>
      </c>
      <c r="B237" s="37" t="s">
        <v>121</v>
      </c>
      <c r="C237" s="72"/>
      <c r="D237" s="39" t="s">
        <v>31</v>
      </c>
      <c r="E237" s="66">
        <v>6.5</v>
      </c>
      <c r="F237" s="73"/>
      <c r="G237" s="37" t="s">
        <v>32</v>
      </c>
      <c r="H237" s="42">
        <v>5250</v>
      </c>
      <c r="I237" s="72">
        <f t="shared" si="54"/>
        <v>3003.4838000000004</v>
      </c>
      <c r="J237" s="74">
        <f t="shared" si="55"/>
        <v>2643.4550769230768</v>
      </c>
      <c r="K237" s="74">
        <f t="shared" si="56"/>
        <v>2246.5161999999996</v>
      </c>
      <c r="L237" s="74">
        <f t="shared" si="57"/>
        <v>2606.5449230769232</v>
      </c>
      <c r="M237" s="74">
        <f t="shared" si="58"/>
        <v>0.50351525274725273</v>
      </c>
      <c r="N237" s="74">
        <f t="shared" si="59"/>
        <v>0.57209215238095246</v>
      </c>
      <c r="O237" s="75">
        <f t="shared" si="60"/>
        <v>0.13619627063834541</v>
      </c>
      <c r="P237" s="71">
        <v>392</v>
      </c>
      <c r="Q237" s="71">
        <v>655</v>
      </c>
      <c r="R237" s="71"/>
      <c r="S237" s="71"/>
      <c r="T237" s="71">
        <v>2977</v>
      </c>
      <c r="U237" s="71">
        <v>4452</v>
      </c>
      <c r="V237" s="71">
        <f>3264+3226</f>
        <v>6490</v>
      </c>
      <c r="W237" s="71"/>
      <c r="X237" s="71">
        <v>5.0999999999999996</v>
      </c>
      <c r="Y237" s="71"/>
      <c r="Z237" s="71"/>
      <c r="AA237" s="71"/>
      <c r="AB237" s="71">
        <v>1118</v>
      </c>
      <c r="AC237" s="76">
        <f>IFERROR(AD237/E237,0)</f>
        <v>2643.4550769230768</v>
      </c>
      <c r="AD237" s="77">
        <f t="shared" si="49"/>
        <v>17182.457999999999</v>
      </c>
      <c r="AE237" s="48">
        <v>154</v>
      </c>
      <c r="AF237" s="78"/>
      <c r="AG237" s="50">
        <v>66</v>
      </c>
      <c r="AH237" s="79"/>
      <c r="AI237" s="50">
        <v>480</v>
      </c>
      <c r="AJ237" s="50">
        <v>700</v>
      </c>
      <c r="AK237" s="50">
        <f>450+450</f>
        <v>900</v>
      </c>
      <c r="AL237" s="76"/>
      <c r="AM237" s="72"/>
      <c r="AN237" s="52"/>
      <c r="AO237" s="50">
        <v>1.54</v>
      </c>
      <c r="AP237" s="76"/>
      <c r="AQ237" s="52">
        <v>154</v>
      </c>
      <c r="AR237" s="82">
        <f t="shared" si="50"/>
        <v>3003.4838000000004</v>
      </c>
      <c r="AS237" s="83">
        <f>AR237*E237</f>
        <v>19522.644700000004</v>
      </c>
      <c r="AT237" s="74">
        <f t="shared" si="51"/>
        <v>360.0287230769236</v>
      </c>
      <c r="AU237" s="73">
        <f>IFERROR(AT237*E237,0)</f>
        <v>2340.1867000000034</v>
      </c>
      <c r="AV237" s="72" t="str">
        <f>D237</f>
        <v>M10</v>
      </c>
      <c r="AW237" s="72">
        <f>P237/E237</f>
        <v>60.307692307692307</v>
      </c>
      <c r="AX237" s="72">
        <f>Q237/E237</f>
        <v>100.76923076923077</v>
      </c>
      <c r="AY237" s="72">
        <f>R237/E237</f>
        <v>0</v>
      </c>
      <c r="AZ237" s="72">
        <f>S237/E237</f>
        <v>0</v>
      </c>
      <c r="BA237" s="72">
        <f>T237/E237</f>
        <v>458</v>
      </c>
      <c r="BB237" s="72">
        <f>U237/E237</f>
        <v>684.92307692307691</v>
      </c>
      <c r="BC237" s="72">
        <f>V237/E237</f>
        <v>998.46153846153845</v>
      </c>
      <c r="BD237" s="72"/>
      <c r="BE237" s="72">
        <f>X237/E237</f>
        <v>0.7846153846153846</v>
      </c>
      <c r="BF237" s="72">
        <f>Y237/E237</f>
        <v>0</v>
      </c>
      <c r="BG237" s="72">
        <f>AB237/E237</f>
        <v>172</v>
      </c>
      <c r="BH237" s="84">
        <f>Z237/E237</f>
        <v>0</v>
      </c>
      <c r="BI237" s="72"/>
      <c r="BJ237" s="72">
        <f t="shared" si="48"/>
        <v>2475.2461538461539</v>
      </c>
    </row>
    <row r="238" spans="1:62" ht="18.75">
      <c r="A238" s="36">
        <v>45746</v>
      </c>
      <c r="B238" s="37" t="s">
        <v>122</v>
      </c>
      <c r="C238" s="72"/>
      <c r="D238" s="39" t="s">
        <v>34</v>
      </c>
      <c r="E238" s="66">
        <v>4</v>
      </c>
      <c r="F238" s="73"/>
      <c r="G238" s="37" t="s">
        <v>82</v>
      </c>
      <c r="H238" s="42">
        <v>5400</v>
      </c>
      <c r="I238" s="72">
        <f t="shared" si="54"/>
        <v>3256.6862000000001</v>
      </c>
      <c r="J238" s="74">
        <f t="shared" si="55"/>
        <v>2862.6032749999999</v>
      </c>
      <c r="K238" s="74">
        <f t="shared" si="56"/>
        <v>2143.3137999999999</v>
      </c>
      <c r="L238" s="74">
        <f t="shared" si="57"/>
        <v>2537.3967250000001</v>
      </c>
      <c r="M238" s="74">
        <f t="shared" si="58"/>
        <v>0.53011171759259257</v>
      </c>
      <c r="N238" s="74">
        <f t="shared" si="59"/>
        <v>0.60309003703703701</v>
      </c>
      <c r="O238" s="75">
        <f t="shared" si="60"/>
        <v>0.13766592403552672</v>
      </c>
      <c r="P238" s="71">
        <v>401</v>
      </c>
      <c r="Q238" s="71">
        <v>485</v>
      </c>
      <c r="R238" s="71"/>
      <c r="S238" s="71"/>
      <c r="T238" s="71">
        <v>1900</v>
      </c>
      <c r="U238" s="71">
        <v>2800</v>
      </c>
      <c r="V238" s="71">
        <f>1828+1792</f>
        <v>3620</v>
      </c>
      <c r="W238" s="71"/>
      <c r="X238" s="71">
        <v>3.53</v>
      </c>
      <c r="Y238" s="71"/>
      <c r="Z238" s="71"/>
      <c r="AA238" s="71"/>
      <c r="AB238" s="71">
        <v>649</v>
      </c>
      <c r="AC238" s="76">
        <f>IFERROR(AD238/E238,0)</f>
        <v>2862.6032749999999</v>
      </c>
      <c r="AD238" s="77">
        <f t="shared" si="49"/>
        <v>11450.4131</v>
      </c>
      <c r="AE238" s="48">
        <v>196</v>
      </c>
      <c r="AF238" s="78"/>
      <c r="AG238" s="50">
        <v>84</v>
      </c>
      <c r="AH238" s="79"/>
      <c r="AI238" s="50">
        <v>480</v>
      </c>
      <c r="AJ238" s="50">
        <v>715</v>
      </c>
      <c r="AK238" s="50">
        <f>440+400</f>
        <v>840</v>
      </c>
      <c r="AL238" s="76"/>
      <c r="AM238" s="72"/>
      <c r="AN238" s="52"/>
      <c r="AO238" s="50">
        <v>1.96</v>
      </c>
      <c r="AP238" s="76"/>
      <c r="AQ238" s="52">
        <v>160</v>
      </c>
      <c r="AR238" s="82">
        <f t="shared" si="50"/>
        <v>3256.6862000000001</v>
      </c>
      <c r="AS238" s="83">
        <f>AR238*E238</f>
        <v>13026.7448</v>
      </c>
      <c r="AT238" s="74">
        <f t="shared" si="51"/>
        <v>394.08292500000016</v>
      </c>
      <c r="AU238" s="73">
        <f>IFERROR(AT238*E238,0)</f>
        <v>1576.3317000000006</v>
      </c>
      <c r="AV238" s="72" t="str">
        <f>D238</f>
        <v>M15</v>
      </c>
      <c r="AW238" s="72">
        <f>P238/E238</f>
        <v>100.25</v>
      </c>
      <c r="AX238" s="72">
        <f>Q238/E238</f>
        <v>121.25</v>
      </c>
      <c r="AY238" s="72">
        <f>R238/E238</f>
        <v>0</v>
      </c>
      <c r="AZ238" s="72">
        <f>S238/E238</f>
        <v>0</v>
      </c>
      <c r="BA238" s="72">
        <f>T238/E238</f>
        <v>475</v>
      </c>
      <c r="BB238" s="72">
        <f>U238/E238</f>
        <v>700</v>
      </c>
      <c r="BC238" s="72">
        <f>V238/E238</f>
        <v>905</v>
      </c>
      <c r="BD238" s="72"/>
      <c r="BE238" s="72">
        <f>X238/E238</f>
        <v>0.88249999999999995</v>
      </c>
      <c r="BF238" s="72">
        <f>Y238/E238</f>
        <v>0</v>
      </c>
      <c r="BG238" s="72">
        <f>AB238/E238</f>
        <v>162.25</v>
      </c>
      <c r="BH238" s="84">
        <f>Z238/E238</f>
        <v>0</v>
      </c>
      <c r="BI238" s="72"/>
      <c r="BJ238" s="72">
        <f t="shared" si="48"/>
        <v>2464.6325000000002</v>
      </c>
    </row>
    <row r="239" spans="1:62" ht="18.75">
      <c r="A239" s="36">
        <v>45746</v>
      </c>
      <c r="B239" s="37" t="s">
        <v>45</v>
      </c>
      <c r="C239" s="72"/>
      <c r="D239" s="39" t="s">
        <v>34</v>
      </c>
      <c r="E239" s="66">
        <v>7</v>
      </c>
      <c r="F239" s="73"/>
      <c r="G239" s="37" t="s">
        <v>69</v>
      </c>
      <c r="H239" s="42">
        <v>5400</v>
      </c>
      <c r="I239" s="72">
        <f t="shared" si="54"/>
        <v>3440.3942000000006</v>
      </c>
      <c r="J239" s="74">
        <f t="shared" si="55"/>
        <v>3379.4776285714292</v>
      </c>
      <c r="K239" s="74">
        <f t="shared" si="56"/>
        <v>1959.6057999999994</v>
      </c>
      <c r="L239" s="74">
        <f t="shared" si="57"/>
        <v>2020.5223714285708</v>
      </c>
      <c r="M239" s="74">
        <f t="shared" si="58"/>
        <v>0.62582919047619057</v>
      </c>
      <c r="N239" s="74">
        <f t="shared" si="59"/>
        <v>0.63711003703703717</v>
      </c>
      <c r="O239" s="75">
        <f t="shared" si="60"/>
        <v>1.8025440060191276E-2</v>
      </c>
      <c r="P239" s="71">
        <v>1398</v>
      </c>
      <c r="Q239" s="71">
        <v>844</v>
      </c>
      <c r="R239" s="71"/>
      <c r="S239" s="71"/>
      <c r="T239" s="71">
        <v>3484</v>
      </c>
      <c r="U239" s="71">
        <v>5167</v>
      </c>
      <c r="V239" s="71">
        <f>2880+2852</f>
        <v>5732</v>
      </c>
      <c r="W239" s="71"/>
      <c r="X239" s="71">
        <v>9.1199999999999992</v>
      </c>
      <c r="Y239" s="71"/>
      <c r="Z239" s="71"/>
      <c r="AA239" s="71"/>
      <c r="AB239" s="71">
        <v>1262</v>
      </c>
      <c r="AC239" s="76">
        <f>IFERROR(AD239/E239,0)</f>
        <v>3379.4776285714292</v>
      </c>
      <c r="AD239" s="77">
        <f t="shared" si="49"/>
        <v>23656.343400000005</v>
      </c>
      <c r="AE239" s="48">
        <v>280</v>
      </c>
      <c r="AF239" s="78"/>
      <c r="AG239" s="50">
        <v>0</v>
      </c>
      <c r="AH239" s="79"/>
      <c r="AI239" s="50">
        <v>480</v>
      </c>
      <c r="AJ239" s="50">
        <v>715</v>
      </c>
      <c r="AK239" s="50">
        <f>440+400</f>
        <v>840</v>
      </c>
      <c r="AL239" s="76"/>
      <c r="AM239" s="72"/>
      <c r="AN239" s="52"/>
      <c r="AO239" s="50">
        <v>1.96</v>
      </c>
      <c r="AP239" s="76"/>
      <c r="AQ239" s="52">
        <v>160</v>
      </c>
      <c r="AR239" s="82">
        <f t="shared" si="50"/>
        <v>3440.3942000000006</v>
      </c>
      <c r="AS239" s="83">
        <f>AR239*E239</f>
        <v>24082.759400000003</v>
      </c>
      <c r="AT239" s="74">
        <f t="shared" si="51"/>
        <v>60.916571428571388</v>
      </c>
      <c r="AU239" s="73">
        <f>IFERROR(AT239*E239,0)</f>
        <v>426.41599999999971</v>
      </c>
      <c r="AV239" s="72" t="str">
        <f>D239</f>
        <v>M15</v>
      </c>
      <c r="AW239" s="72">
        <f>P239/E239</f>
        <v>199.71428571428572</v>
      </c>
      <c r="AX239" s="72">
        <f>Q239/E239</f>
        <v>120.57142857142857</v>
      </c>
      <c r="AY239" s="72">
        <f>R239/E239</f>
        <v>0</v>
      </c>
      <c r="AZ239" s="72">
        <f>S239/E239</f>
        <v>0</v>
      </c>
      <c r="BA239" s="72">
        <f>T239/E239</f>
        <v>497.71428571428572</v>
      </c>
      <c r="BB239" s="72">
        <f>U239/E239</f>
        <v>738.14285714285711</v>
      </c>
      <c r="BC239" s="72">
        <f>V239/E239</f>
        <v>818.85714285714289</v>
      </c>
      <c r="BD239" s="72"/>
      <c r="BE239" s="72">
        <f>X239/E239</f>
        <v>1.3028571428571427</v>
      </c>
      <c r="BF239" s="72">
        <f>Y239/E239</f>
        <v>0</v>
      </c>
      <c r="BG239" s="72">
        <f>AB239/E239</f>
        <v>180.28571428571428</v>
      </c>
      <c r="BH239" s="84">
        <f>Z239/E239</f>
        <v>0</v>
      </c>
      <c r="BI239" s="72"/>
      <c r="BJ239" s="72">
        <f t="shared" si="48"/>
        <v>2556.5885714285714</v>
      </c>
    </row>
    <row r="240" spans="1:62" ht="18.75">
      <c r="A240" s="36">
        <v>45746</v>
      </c>
      <c r="B240" s="37" t="s">
        <v>122</v>
      </c>
      <c r="C240" s="72"/>
      <c r="D240" s="39" t="s">
        <v>40</v>
      </c>
      <c r="E240" s="40">
        <v>5.5</v>
      </c>
      <c r="F240" s="73"/>
      <c r="G240" s="37" t="s">
        <v>41</v>
      </c>
      <c r="H240" s="42">
        <v>5700</v>
      </c>
      <c r="I240" s="72">
        <f t="shared" si="54"/>
        <v>3452.0828000000001</v>
      </c>
      <c r="J240" s="74">
        <f t="shared" si="55"/>
        <v>3343.4512434782609</v>
      </c>
      <c r="K240" s="74">
        <f t="shared" si="56"/>
        <v>2247.9171999999999</v>
      </c>
      <c r="L240" s="74">
        <f t="shared" si="57"/>
        <v>2356.5487565217391</v>
      </c>
      <c r="M240" s="74">
        <f t="shared" si="58"/>
        <v>0.58657039359267737</v>
      </c>
      <c r="N240" s="74">
        <f t="shared" si="59"/>
        <v>0.60562856140350885</v>
      </c>
      <c r="O240" s="75">
        <f t="shared" si="60"/>
        <v>3.2490845121081455E-2</v>
      </c>
      <c r="P240" s="71">
        <v>1103.3478260869565</v>
      </c>
      <c r="Q240" s="71">
        <v>667.17391304347825</v>
      </c>
      <c r="R240" s="71">
        <v>0</v>
      </c>
      <c r="S240" s="71">
        <v>0</v>
      </c>
      <c r="T240" s="71">
        <v>2686.8695652173915</v>
      </c>
      <c r="U240" s="71">
        <v>4068.5652173913045</v>
      </c>
      <c r="V240" s="71">
        <v>4294.304347826087</v>
      </c>
      <c r="W240" s="71">
        <v>0</v>
      </c>
      <c r="X240" s="71">
        <v>7.2169565217391298</v>
      </c>
      <c r="Y240" s="71">
        <v>0</v>
      </c>
      <c r="Z240" s="71">
        <v>0</v>
      </c>
      <c r="AA240" s="71">
        <v>0</v>
      </c>
      <c r="AB240" s="71">
        <v>913.95652173913038</v>
      </c>
      <c r="AC240" s="76">
        <f>IFERROR(AD240/E240,0)</f>
        <v>3343.4512434782609</v>
      </c>
      <c r="AD240" s="77">
        <f t="shared" si="49"/>
        <v>18388.981839130436</v>
      </c>
      <c r="AE240" s="48">
        <v>224</v>
      </c>
      <c r="AF240" s="78"/>
      <c r="AG240" s="50">
        <v>96</v>
      </c>
      <c r="AH240" s="79"/>
      <c r="AI240" s="50">
        <v>495</v>
      </c>
      <c r="AJ240" s="50">
        <v>740</v>
      </c>
      <c r="AK240" s="50">
        <v>800</v>
      </c>
      <c r="AL240" s="76"/>
      <c r="AM240" s="72"/>
      <c r="AN240" s="52"/>
      <c r="AO240" s="50">
        <v>2.2400000000000002</v>
      </c>
      <c r="AP240" s="76"/>
      <c r="AQ240" s="52">
        <v>155</v>
      </c>
      <c r="AR240" s="82">
        <f t="shared" si="50"/>
        <v>3452.0828000000001</v>
      </c>
      <c r="AS240" s="83">
        <f>AR240*E240</f>
        <v>18986.455399999999</v>
      </c>
      <c r="AT240" s="74">
        <f t="shared" si="51"/>
        <v>108.63155652173918</v>
      </c>
      <c r="AU240" s="73">
        <f>IFERROR(AT240*E240,0)</f>
        <v>597.47356086956552</v>
      </c>
      <c r="AV240" s="72" t="str">
        <f>D240</f>
        <v>M25</v>
      </c>
      <c r="AW240" s="72">
        <f>P240/E240</f>
        <v>200.60869565217391</v>
      </c>
      <c r="AX240" s="72">
        <f>Q240/E240</f>
        <v>121.30434782608695</v>
      </c>
      <c r="AY240" s="72">
        <f>R240/E240</f>
        <v>0</v>
      </c>
      <c r="AZ240" s="72">
        <f>S240/E240</f>
        <v>0</v>
      </c>
      <c r="BA240" s="72">
        <f>T240/E240</f>
        <v>488.52173913043481</v>
      </c>
      <c r="BB240" s="72">
        <f>U240/E240</f>
        <v>739.73913043478262</v>
      </c>
      <c r="BC240" s="72">
        <f>V240/E240</f>
        <v>780.78260869565213</v>
      </c>
      <c r="BD240" s="72"/>
      <c r="BE240" s="72">
        <f>X240/E240</f>
        <v>1.3121739130434782</v>
      </c>
      <c r="BF240" s="72">
        <f>Y240/E240</f>
        <v>0</v>
      </c>
      <c r="BG240" s="72">
        <f>AB240/E240</f>
        <v>166.17391304347825</v>
      </c>
      <c r="BH240" s="84">
        <f>Z240/E240</f>
        <v>0</v>
      </c>
      <c r="BI240" s="72"/>
      <c r="BJ240" s="72">
        <f t="shared" si="48"/>
        <v>2498.4426086956519</v>
      </c>
    </row>
    <row r="241" spans="1:62" ht="18.75">
      <c r="A241" s="36">
        <v>45746</v>
      </c>
      <c r="B241" s="37" t="s">
        <v>30</v>
      </c>
      <c r="C241" s="72"/>
      <c r="D241" s="39" t="s">
        <v>40</v>
      </c>
      <c r="E241" s="40">
        <v>6</v>
      </c>
      <c r="F241" s="73"/>
      <c r="G241" s="37" t="s">
        <v>41</v>
      </c>
      <c r="H241" s="42">
        <v>5800</v>
      </c>
      <c r="I241" s="72">
        <f t="shared" si="54"/>
        <v>3452.0828000000001</v>
      </c>
      <c r="J241" s="74">
        <f t="shared" si="55"/>
        <v>3343.4512434782609</v>
      </c>
      <c r="K241" s="74">
        <f t="shared" si="56"/>
        <v>2347.9171999999999</v>
      </c>
      <c r="L241" s="74">
        <f t="shared" si="57"/>
        <v>2456.5487565217391</v>
      </c>
      <c r="M241" s="74">
        <f t="shared" si="58"/>
        <v>0.57645711094452778</v>
      </c>
      <c r="N241" s="74">
        <f t="shared" si="59"/>
        <v>0.59518668965517241</v>
      </c>
      <c r="O241" s="75">
        <f t="shared" si="60"/>
        <v>3.2490845121081281E-2</v>
      </c>
      <c r="P241" s="71">
        <v>1203.6521739130435</v>
      </c>
      <c r="Q241" s="71">
        <v>727.82608695652175</v>
      </c>
      <c r="R241" s="71">
        <v>0</v>
      </c>
      <c r="S241" s="71">
        <v>0</v>
      </c>
      <c r="T241" s="71">
        <v>2931.130434782609</v>
      </c>
      <c r="U241" s="71">
        <v>4438.434782608696</v>
      </c>
      <c r="V241" s="71">
        <v>4684.695652173913</v>
      </c>
      <c r="W241" s="71">
        <v>0</v>
      </c>
      <c r="X241" s="71">
        <v>7.8730434782608691</v>
      </c>
      <c r="Y241" s="71">
        <v>0</v>
      </c>
      <c r="Z241" s="71">
        <v>0</v>
      </c>
      <c r="AA241" s="71">
        <v>0</v>
      </c>
      <c r="AB241" s="71">
        <v>997.04347826086951</v>
      </c>
      <c r="AC241" s="76">
        <f>IFERROR(AD241/E241,0)</f>
        <v>3343.4512434782609</v>
      </c>
      <c r="AD241" s="77">
        <f t="shared" si="49"/>
        <v>20060.707460869566</v>
      </c>
      <c r="AE241" s="48">
        <v>224</v>
      </c>
      <c r="AF241" s="78"/>
      <c r="AG241" s="50">
        <v>96</v>
      </c>
      <c r="AH241" s="79"/>
      <c r="AI241" s="50">
        <v>495</v>
      </c>
      <c r="AJ241" s="50">
        <v>740</v>
      </c>
      <c r="AK241" s="50">
        <v>800</v>
      </c>
      <c r="AL241" s="76"/>
      <c r="AM241" s="72"/>
      <c r="AN241" s="52"/>
      <c r="AO241" s="50">
        <v>2.2400000000000002</v>
      </c>
      <c r="AP241" s="76"/>
      <c r="AQ241" s="52">
        <v>155</v>
      </c>
      <c r="AR241" s="82">
        <f t="shared" si="50"/>
        <v>3452.0828000000001</v>
      </c>
      <c r="AS241" s="83">
        <f>AR241*E241</f>
        <v>20712.496800000001</v>
      </c>
      <c r="AT241" s="74">
        <f t="shared" si="51"/>
        <v>108.63155652173918</v>
      </c>
      <c r="AU241" s="73">
        <f>IFERROR(AT241*E241,0)</f>
        <v>651.78933913043511</v>
      </c>
      <c r="AV241" s="72" t="str">
        <f>D241</f>
        <v>M25</v>
      </c>
      <c r="AW241" s="72">
        <f>P241/E241</f>
        <v>200.60869565217391</v>
      </c>
      <c r="AX241" s="72">
        <f>Q241/E241</f>
        <v>121.30434782608695</v>
      </c>
      <c r="AY241" s="72">
        <f>R241/E241</f>
        <v>0</v>
      </c>
      <c r="AZ241" s="72">
        <f>S241/E241</f>
        <v>0</v>
      </c>
      <c r="BA241" s="72">
        <f>T241/E241</f>
        <v>488.52173913043481</v>
      </c>
      <c r="BB241" s="72">
        <f>U241/E241</f>
        <v>739.73913043478262</v>
      </c>
      <c r="BC241" s="72">
        <f>V241/E241</f>
        <v>780.78260869565213</v>
      </c>
      <c r="BD241" s="72"/>
      <c r="BE241" s="72">
        <f>X241/E241</f>
        <v>1.3121739130434782</v>
      </c>
      <c r="BF241" s="72">
        <f>Y241/E241</f>
        <v>0</v>
      </c>
      <c r="BG241" s="72">
        <f>AB241/E241</f>
        <v>166.17391304347825</v>
      </c>
      <c r="BH241" s="84">
        <f>Z241/E241</f>
        <v>0</v>
      </c>
      <c r="BI241" s="72"/>
      <c r="BJ241" s="72">
        <f t="shared" si="48"/>
        <v>2498.4426086956519</v>
      </c>
    </row>
    <row r="242" spans="1:62" ht="18.75">
      <c r="A242" s="36">
        <v>45746</v>
      </c>
      <c r="B242" s="37" t="s">
        <v>76</v>
      </c>
      <c r="C242" s="72"/>
      <c r="D242" s="39" t="s">
        <v>43</v>
      </c>
      <c r="E242" s="40">
        <v>4.5</v>
      </c>
      <c r="F242" s="73"/>
      <c r="G242" s="37" t="s">
        <v>77</v>
      </c>
      <c r="H242" s="42">
        <v>5800</v>
      </c>
      <c r="I242" s="72">
        <f t="shared" si="54"/>
        <v>3611.0944</v>
      </c>
      <c r="J242" s="74">
        <f t="shared" si="55"/>
        <v>3504.5079111111108</v>
      </c>
      <c r="K242" s="74">
        <f t="shared" si="56"/>
        <v>2188.9056</v>
      </c>
      <c r="L242" s="74">
        <f t="shared" si="57"/>
        <v>2295.4920888888892</v>
      </c>
      <c r="M242" s="74">
        <f t="shared" si="58"/>
        <v>0.60422550191570878</v>
      </c>
      <c r="N242" s="74">
        <f t="shared" si="59"/>
        <v>0.62260248275862073</v>
      </c>
      <c r="O242" s="75">
        <f t="shared" si="60"/>
        <v>3.0414109938503707E-2</v>
      </c>
      <c r="P242" s="71">
        <v>1035</v>
      </c>
      <c r="Q242" s="71">
        <v>590</v>
      </c>
      <c r="R242" s="71">
        <v>0</v>
      </c>
      <c r="S242" s="71">
        <v>0</v>
      </c>
      <c r="T242" s="71">
        <v>2234</v>
      </c>
      <c r="U242" s="71">
        <v>3379</v>
      </c>
      <c r="V242" s="71">
        <f>1672+1579</f>
        <v>3251</v>
      </c>
      <c r="W242" s="71">
        <v>0</v>
      </c>
      <c r="X242" s="71">
        <v>7.18</v>
      </c>
      <c r="Y242" s="71">
        <v>0</v>
      </c>
      <c r="Z242" s="71">
        <v>0</v>
      </c>
      <c r="AA242" s="71">
        <v>0</v>
      </c>
      <c r="AB242" s="71">
        <v>770</v>
      </c>
      <c r="AC242" s="76">
        <f>IFERROR(AD242/E242,0)</f>
        <v>3504.5079111111108</v>
      </c>
      <c r="AD242" s="77">
        <f t="shared" si="49"/>
        <v>15770.285599999999</v>
      </c>
      <c r="AE242" s="50">
        <v>252</v>
      </c>
      <c r="AF242" s="78"/>
      <c r="AG242" s="50">
        <v>108</v>
      </c>
      <c r="AH242" s="79"/>
      <c r="AI242" s="50">
        <v>525</v>
      </c>
      <c r="AJ242" s="50">
        <v>760</v>
      </c>
      <c r="AK242" s="50">
        <f t="shared" ref="AK242" si="61">350+360</f>
        <v>710</v>
      </c>
      <c r="AL242" s="76"/>
      <c r="AM242" s="72"/>
      <c r="AN242" s="52"/>
      <c r="AO242" s="50">
        <v>2.52</v>
      </c>
      <c r="AP242" s="76"/>
      <c r="AQ242" s="52">
        <v>155</v>
      </c>
      <c r="AR242" s="82">
        <f t="shared" si="50"/>
        <v>3611.0944</v>
      </c>
      <c r="AS242" s="83">
        <f>AR242*E242</f>
        <v>16249.924800000001</v>
      </c>
      <c r="AT242" s="74">
        <f t="shared" si="51"/>
        <v>106.58648888888911</v>
      </c>
      <c r="AU242" s="73">
        <f>IFERROR(AT242*E242,0)</f>
        <v>479.63920000000098</v>
      </c>
      <c r="AV242" s="72" t="str">
        <f>D242</f>
        <v>M30</v>
      </c>
      <c r="AW242" s="72">
        <f>P242/E242</f>
        <v>230</v>
      </c>
      <c r="AX242" s="72">
        <f>Q242/E242</f>
        <v>131.11111111111111</v>
      </c>
      <c r="AY242" s="72">
        <f>R242/E242</f>
        <v>0</v>
      </c>
      <c r="AZ242" s="72">
        <f>S242/E242</f>
        <v>0</v>
      </c>
      <c r="BA242" s="72">
        <f>T242/E242</f>
        <v>496.44444444444446</v>
      </c>
      <c r="BB242" s="72">
        <f>U242/E242</f>
        <v>750.88888888888891</v>
      </c>
      <c r="BC242" s="72">
        <f>V242/E242</f>
        <v>722.44444444444446</v>
      </c>
      <c r="BD242" s="72"/>
      <c r="BE242" s="72">
        <f>X242/E242</f>
        <v>1.5955555555555554</v>
      </c>
      <c r="BF242" s="72">
        <f>Y242/E242</f>
        <v>0</v>
      </c>
      <c r="BG242" s="72">
        <f>AB242/E242</f>
        <v>171.11111111111111</v>
      </c>
      <c r="BH242" s="84">
        <f>Z242/E242</f>
        <v>0</v>
      </c>
      <c r="BI242" s="72"/>
      <c r="BJ242" s="72">
        <f t="shared" si="48"/>
        <v>2503.5955555555556</v>
      </c>
    </row>
    <row r="243" spans="1:62" ht="18.75">
      <c r="A243" s="36">
        <v>45746</v>
      </c>
      <c r="B243" s="37" t="s">
        <v>47</v>
      </c>
      <c r="C243" s="72"/>
      <c r="D243" s="39" t="s">
        <v>43</v>
      </c>
      <c r="E243" s="66">
        <v>5</v>
      </c>
      <c r="F243" s="73"/>
      <c r="G243" s="37" t="s">
        <v>78</v>
      </c>
      <c r="H243" s="42">
        <v>5700</v>
      </c>
      <c r="I243" s="72">
        <f t="shared" si="54"/>
        <v>3886.9700000000003</v>
      </c>
      <c r="J243" s="74">
        <f t="shared" si="55"/>
        <v>3674.3704400000001</v>
      </c>
      <c r="K243" s="74">
        <f t="shared" si="56"/>
        <v>1813.0299999999997</v>
      </c>
      <c r="L243" s="74">
        <f t="shared" si="57"/>
        <v>2025.6295599999999</v>
      </c>
      <c r="M243" s="74">
        <f t="shared" si="58"/>
        <v>0.64462639298245616</v>
      </c>
      <c r="N243" s="74">
        <f t="shared" si="59"/>
        <v>0.68192456140350877</v>
      </c>
      <c r="O243" s="75">
        <f t="shared" si="60"/>
        <v>5.786013236052482E-2</v>
      </c>
      <c r="P243" s="71">
        <v>1300</v>
      </c>
      <c r="Q243" s="71">
        <v>704</v>
      </c>
      <c r="R243" s="71"/>
      <c r="S243" s="71"/>
      <c r="T243" s="71">
        <v>2423</v>
      </c>
      <c r="U243" s="71">
        <v>3737</v>
      </c>
      <c r="V243" s="71">
        <f>1781+1733</f>
        <v>3514</v>
      </c>
      <c r="W243" s="71"/>
      <c r="X243" s="71">
        <v>9.76</v>
      </c>
      <c r="Y243" s="71"/>
      <c r="Z243" s="71"/>
      <c r="AA243" s="71"/>
      <c r="AB243" s="71">
        <v>815</v>
      </c>
      <c r="AC243" s="76">
        <f>IFERROR(AD243/E243,0)</f>
        <v>3674.3704400000001</v>
      </c>
      <c r="AD243" s="77">
        <f t="shared" si="49"/>
        <v>18371.852200000001</v>
      </c>
      <c r="AE243" s="48">
        <v>320</v>
      </c>
      <c r="AF243" s="78"/>
      <c r="AG243" s="50">
        <v>80</v>
      </c>
      <c r="AH243" s="79"/>
      <c r="AI243" s="50">
        <v>515</v>
      </c>
      <c r="AJ243" s="50">
        <v>780</v>
      </c>
      <c r="AK243" s="50">
        <f>360+300</f>
        <v>660</v>
      </c>
      <c r="AL243" s="76"/>
      <c r="AM243" s="72"/>
      <c r="AN243" s="52">
        <v>2</v>
      </c>
      <c r="AO243" s="50"/>
      <c r="AP243" s="76"/>
      <c r="AQ243" s="52">
        <v>152</v>
      </c>
      <c r="AR243" s="82">
        <f t="shared" si="50"/>
        <v>3886.9700000000003</v>
      </c>
      <c r="AS243" s="83">
        <f>AR243*E243</f>
        <v>19434.850000000002</v>
      </c>
      <c r="AT243" s="74">
        <f t="shared" si="51"/>
        <v>212.59956000000011</v>
      </c>
      <c r="AU243" s="73">
        <f>IFERROR(AT243*E243,0)</f>
        <v>1062.9978000000006</v>
      </c>
      <c r="AV243" s="72" t="str">
        <f>D243</f>
        <v>M30</v>
      </c>
      <c r="AW243" s="72">
        <f>P243/E243</f>
        <v>260</v>
      </c>
      <c r="AX243" s="72">
        <f>Q243/E243</f>
        <v>140.80000000000001</v>
      </c>
      <c r="AY243" s="72">
        <f>R243/E243</f>
        <v>0</v>
      </c>
      <c r="AZ243" s="72">
        <f>S243/E243</f>
        <v>0</v>
      </c>
      <c r="BA243" s="72">
        <f>T243/E243</f>
        <v>484.6</v>
      </c>
      <c r="BB243" s="72">
        <f>U243/E243</f>
        <v>747.4</v>
      </c>
      <c r="BC243" s="72">
        <f>V243/E243</f>
        <v>702.8</v>
      </c>
      <c r="BD243" s="72"/>
      <c r="BE243" s="72">
        <f>X243/E243</f>
        <v>1.952</v>
      </c>
      <c r="BF243" s="72">
        <f>Y243/E243</f>
        <v>0</v>
      </c>
      <c r="BG243" s="72">
        <f>AB243/E243</f>
        <v>163</v>
      </c>
      <c r="BH243" s="84">
        <f>Z243/E243</f>
        <v>0</v>
      </c>
      <c r="BI243" s="72"/>
      <c r="BJ243" s="72">
        <f t="shared" si="48"/>
        <v>2500.5520000000006</v>
      </c>
    </row>
    <row r="244" spans="1:62" ht="18.75">
      <c r="A244" s="36">
        <v>45746</v>
      </c>
      <c r="B244" s="37" t="s">
        <v>45</v>
      </c>
      <c r="C244" s="72"/>
      <c r="D244" s="39" t="s">
        <v>43</v>
      </c>
      <c r="E244" s="66">
        <v>46</v>
      </c>
      <c r="F244" s="73"/>
      <c r="G244" s="37" t="s">
        <v>46</v>
      </c>
      <c r="H244" s="42">
        <v>6000</v>
      </c>
      <c r="I244" s="72">
        <f t="shared" si="54"/>
        <v>4033.4050000000002</v>
      </c>
      <c r="J244" s="74">
        <f t="shared" si="55"/>
        <v>3698.2090326086955</v>
      </c>
      <c r="K244" s="74">
        <f t="shared" si="56"/>
        <v>1966.5949999999998</v>
      </c>
      <c r="L244" s="74">
        <f t="shared" si="57"/>
        <v>2301.7909673913045</v>
      </c>
      <c r="M244" s="74">
        <f t="shared" si="58"/>
        <v>0.61636817210144923</v>
      </c>
      <c r="N244" s="74">
        <f t="shared" si="59"/>
        <v>0.67223416666666669</v>
      </c>
      <c r="O244" s="75">
        <f t="shared" si="60"/>
        <v>9.0637377291477611E-2</v>
      </c>
      <c r="P244" s="71">
        <v>13795</v>
      </c>
      <c r="Q244" s="71">
        <v>3732</v>
      </c>
      <c r="R244" s="71"/>
      <c r="S244" s="71"/>
      <c r="T244" s="71">
        <v>22804</v>
      </c>
      <c r="U244" s="71">
        <v>33993</v>
      </c>
      <c r="V244" s="71">
        <f>16357+16188</f>
        <v>32545</v>
      </c>
      <c r="W244" s="71"/>
      <c r="X244" s="71">
        <v>79.45</v>
      </c>
      <c r="Y244" s="71"/>
      <c r="Z244" s="71"/>
      <c r="AA244" s="71"/>
      <c r="AB244" s="71">
        <v>7614</v>
      </c>
      <c r="AC244" s="76">
        <f>IFERROR(AD244/E244,0)</f>
        <v>3698.2090326086955</v>
      </c>
      <c r="AD244" s="77">
        <f t="shared" si="49"/>
        <v>170117.61549999999</v>
      </c>
      <c r="AE244" s="48">
        <v>380</v>
      </c>
      <c r="AF244" s="78"/>
      <c r="AG244" s="50">
        <v>0</v>
      </c>
      <c r="AH244" s="79"/>
      <c r="AI244" s="50">
        <v>495</v>
      </c>
      <c r="AJ244" s="50">
        <v>745</v>
      </c>
      <c r="AK244" s="50">
        <f>380+380</f>
        <v>760</v>
      </c>
      <c r="AL244" s="76"/>
      <c r="AM244" s="72"/>
      <c r="AN244" s="52">
        <v>2.4700000000000002</v>
      </c>
      <c r="AO244" s="50"/>
      <c r="AP244" s="76"/>
      <c r="AQ244" s="52">
        <v>144</v>
      </c>
      <c r="AR244" s="82">
        <f t="shared" si="50"/>
        <v>4033.4050000000002</v>
      </c>
      <c r="AS244" s="83">
        <f>AR244*E244</f>
        <v>185536.63</v>
      </c>
      <c r="AT244" s="74">
        <f t="shared" si="51"/>
        <v>335.19596739130475</v>
      </c>
      <c r="AU244" s="73">
        <f>IFERROR(AT244*E244,0)</f>
        <v>15419.014500000019</v>
      </c>
      <c r="AV244" s="72" t="str">
        <f>D244</f>
        <v>M30</v>
      </c>
      <c r="AW244" s="72">
        <f>P244/E244</f>
        <v>299.89130434782606</v>
      </c>
      <c r="AX244" s="72">
        <f>Q244/E244</f>
        <v>81.130434782608702</v>
      </c>
      <c r="AY244" s="72">
        <f>R244/E244</f>
        <v>0</v>
      </c>
      <c r="AZ244" s="72">
        <f>S244/E244</f>
        <v>0</v>
      </c>
      <c r="BA244" s="72">
        <f>T244/E244</f>
        <v>495.73913043478262</v>
      </c>
      <c r="BB244" s="72">
        <f>U244/E244</f>
        <v>738.97826086956525</v>
      </c>
      <c r="BC244" s="72">
        <f>V244/E244</f>
        <v>707.5</v>
      </c>
      <c r="BD244" s="72"/>
      <c r="BE244" s="72">
        <f>X244/E244</f>
        <v>1.7271739130434782</v>
      </c>
      <c r="BF244" s="72">
        <f>Y244/E244</f>
        <v>0</v>
      </c>
      <c r="BG244" s="72">
        <f>AB244/E244</f>
        <v>165.52173913043478</v>
      </c>
      <c r="BH244" s="84">
        <f>Z244/E244</f>
        <v>0</v>
      </c>
      <c r="BI244" s="72"/>
      <c r="BJ244" s="72">
        <f t="shared" si="48"/>
        <v>2490.4880434782608</v>
      </c>
    </row>
    <row r="245" spans="1:62" ht="18.75">
      <c r="A245" s="36">
        <v>45746</v>
      </c>
      <c r="B245" s="37" t="s">
        <v>90</v>
      </c>
      <c r="C245" s="72"/>
      <c r="D245" s="39" t="s">
        <v>43</v>
      </c>
      <c r="E245" s="66">
        <v>12.5</v>
      </c>
      <c r="F245" s="73"/>
      <c r="G245" s="37" t="s">
        <v>91</v>
      </c>
      <c r="H245" s="42">
        <v>6300</v>
      </c>
      <c r="I245" s="72">
        <f t="shared" si="54"/>
        <v>4185.3300000000008</v>
      </c>
      <c r="J245" s="74">
        <f t="shared" si="55"/>
        <v>3550.8818000000001</v>
      </c>
      <c r="K245" s="74">
        <f t="shared" si="56"/>
        <v>2114.6699999999992</v>
      </c>
      <c r="L245" s="74">
        <f t="shared" si="57"/>
        <v>2749.1181999999999</v>
      </c>
      <c r="M245" s="74">
        <f t="shared" si="58"/>
        <v>0.56363203174603171</v>
      </c>
      <c r="N245" s="74">
        <f t="shared" si="59"/>
        <v>0.66433809523809539</v>
      </c>
      <c r="O245" s="75">
        <f t="shared" si="60"/>
        <v>0.17867342134565031</v>
      </c>
      <c r="P245" s="71">
        <v>3124</v>
      </c>
      <c r="Q245" s="71">
        <v>1383</v>
      </c>
      <c r="R245" s="71"/>
      <c r="S245" s="71"/>
      <c r="T245" s="71">
        <v>6210</v>
      </c>
      <c r="U245" s="71">
        <v>9314</v>
      </c>
      <c r="V245" s="71">
        <f>4575+4456</f>
        <v>9031</v>
      </c>
      <c r="W245" s="71"/>
      <c r="X245" s="71">
        <v>22.75</v>
      </c>
      <c r="Y245" s="71"/>
      <c r="Z245" s="71"/>
      <c r="AA245" s="71"/>
      <c r="AB245" s="71">
        <v>2091</v>
      </c>
      <c r="AC245" s="76">
        <f>IFERROR(AD245/E245,0)</f>
        <v>3550.8818000000001</v>
      </c>
      <c r="AD245" s="77">
        <f t="shared" si="49"/>
        <v>44386.022499999999</v>
      </c>
      <c r="AE245" s="48">
        <v>420</v>
      </c>
      <c r="AF245" s="78"/>
      <c r="AG245" s="50">
        <v>0</v>
      </c>
      <c r="AH245" s="79"/>
      <c r="AI245" s="50">
        <v>505</v>
      </c>
      <c r="AJ245" s="50">
        <v>760</v>
      </c>
      <c r="AK245" s="50">
        <f>365+300</f>
        <v>665</v>
      </c>
      <c r="AL245" s="76"/>
      <c r="AM245" s="72"/>
      <c r="AN245" s="52">
        <v>2.52</v>
      </c>
      <c r="AO245" s="50"/>
      <c r="AP245" s="76"/>
      <c r="AQ245" s="52">
        <v>170</v>
      </c>
      <c r="AR245" s="82">
        <f t="shared" si="50"/>
        <v>4185.3300000000008</v>
      </c>
      <c r="AS245" s="83">
        <f>AR245*E245</f>
        <v>52316.625000000007</v>
      </c>
      <c r="AT245" s="74">
        <f t="shared" si="51"/>
        <v>634.44820000000072</v>
      </c>
      <c r="AU245" s="73">
        <f>IFERROR(AT245*E245,0)</f>
        <v>7930.6025000000091</v>
      </c>
      <c r="AV245" s="72" t="str">
        <f>D245</f>
        <v>M30</v>
      </c>
      <c r="AW245" s="72">
        <f>P245/E245</f>
        <v>249.92</v>
      </c>
      <c r="AX245" s="72">
        <f>Q245/E245</f>
        <v>110.64</v>
      </c>
      <c r="AY245" s="72">
        <f>R245/E245</f>
        <v>0</v>
      </c>
      <c r="AZ245" s="72">
        <f>S245/E245</f>
        <v>0</v>
      </c>
      <c r="BA245" s="72">
        <f>T245/E245</f>
        <v>496.8</v>
      </c>
      <c r="BB245" s="72">
        <f>U245/E245</f>
        <v>745.12</v>
      </c>
      <c r="BC245" s="72">
        <f>V245/E245</f>
        <v>722.48</v>
      </c>
      <c r="BD245" s="72"/>
      <c r="BE245" s="72">
        <f>X245/E245</f>
        <v>1.82</v>
      </c>
      <c r="BF245" s="72">
        <f>Y245/E245</f>
        <v>0</v>
      </c>
      <c r="BG245" s="72">
        <f>AB245/E245</f>
        <v>167.28</v>
      </c>
      <c r="BH245" s="84">
        <f>Z245/E245</f>
        <v>0</v>
      </c>
      <c r="BI245" s="72"/>
      <c r="BJ245" s="72">
        <f t="shared" si="48"/>
        <v>2494.0600000000004</v>
      </c>
    </row>
    <row r="246" spans="1:62" ht="18.75">
      <c r="A246" s="36">
        <v>45746</v>
      </c>
      <c r="B246" s="37" t="s">
        <v>100</v>
      </c>
      <c r="C246" s="72"/>
      <c r="D246" s="39" t="s">
        <v>66</v>
      </c>
      <c r="E246" s="66">
        <v>26</v>
      </c>
      <c r="F246" s="73"/>
      <c r="G246" s="37" t="s">
        <v>67</v>
      </c>
      <c r="H246" s="42">
        <v>5750</v>
      </c>
      <c r="I246" s="72">
        <f t="shared" si="54"/>
        <v>3804.0542</v>
      </c>
      <c r="J246" s="74">
        <f t="shared" si="55"/>
        <v>3723.8999730769233</v>
      </c>
      <c r="K246" s="74">
        <f t="shared" si="56"/>
        <v>1945.9458</v>
      </c>
      <c r="L246" s="74">
        <f t="shared" si="57"/>
        <v>2026.1000269230767</v>
      </c>
      <c r="M246" s="74">
        <f t="shared" si="58"/>
        <v>0.64763477792642143</v>
      </c>
      <c r="N246" s="74">
        <f t="shared" si="59"/>
        <v>0.66157464347826089</v>
      </c>
      <c r="O246" s="75">
        <f t="shared" si="60"/>
        <v>2.1524269583655966E-2</v>
      </c>
      <c r="P246" s="71">
        <v>7274</v>
      </c>
      <c r="Q246" s="71">
        <v>3397</v>
      </c>
      <c r="R246" s="71"/>
      <c r="S246" s="71"/>
      <c r="T246" s="71">
        <v>12891</v>
      </c>
      <c r="U246" s="71">
        <v>19719</v>
      </c>
      <c r="V246" s="71">
        <f>8752+8373</f>
        <v>17125</v>
      </c>
      <c r="W246" s="71"/>
      <c r="X246" s="71">
        <v>48.29</v>
      </c>
      <c r="Y246" s="71"/>
      <c r="Z246" s="71"/>
      <c r="AA246" s="71"/>
      <c r="AB246" s="71">
        <v>4551</v>
      </c>
      <c r="AC246" s="76">
        <f>IFERROR(AD246/E246,0)</f>
        <v>3723.8999730769233</v>
      </c>
      <c r="AD246" s="77">
        <f t="shared" si="49"/>
        <v>96821.399300000005</v>
      </c>
      <c r="AE246" s="48">
        <v>290</v>
      </c>
      <c r="AF246" s="78"/>
      <c r="AG246" s="50">
        <v>120</v>
      </c>
      <c r="AH246" s="79"/>
      <c r="AI246" s="50">
        <v>490</v>
      </c>
      <c r="AJ246" s="50">
        <v>740</v>
      </c>
      <c r="AK246" s="50">
        <f>400+320</f>
        <v>720</v>
      </c>
      <c r="AL246" s="76"/>
      <c r="AM246" s="72"/>
      <c r="AN246" s="52"/>
      <c r="AO246" s="50">
        <v>2.46</v>
      </c>
      <c r="AP246" s="76"/>
      <c r="AQ246" s="52">
        <v>160</v>
      </c>
      <c r="AR246" s="82">
        <f t="shared" si="50"/>
        <v>3804.0542</v>
      </c>
      <c r="AS246" s="83">
        <f>AR246*E246</f>
        <v>98905.409199999995</v>
      </c>
      <c r="AT246" s="74">
        <f t="shared" si="51"/>
        <v>80.154226923076749</v>
      </c>
      <c r="AU246" s="73">
        <f>IFERROR(AT246*E246,0)</f>
        <v>2084.0098999999955</v>
      </c>
      <c r="AV246" s="72" t="str">
        <f>D246</f>
        <v>M35</v>
      </c>
      <c r="AW246" s="72">
        <f>P246/E246</f>
        <v>279.76923076923077</v>
      </c>
      <c r="AX246" s="72">
        <f>Q246/E246</f>
        <v>130.65384615384616</v>
      </c>
      <c r="AY246" s="72">
        <f>R246/E246</f>
        <v>0</v>
      </c>
      <c r="AZ246" s="72">
        <f>S246/E246</f>
        <v>0</v>
      </c>
      <c r="BA246" s="72">
        <f>T246/E246</f>
        <v>495.80769230769232</v>
      </c>
      <c r="BB246" s="72">
        <f>U246/E246</f>
        <v>758.42307692307691</v>
      </c>
      <c r="BC246" s="72">
        <f>V246/E246</f>
        <v>658.65384615384619</v>
      </c>
      <c r="BD246" s="72"/>
      <c r="BE246" s="72">
        <f>X246/E246</f>
        <v>1.8573076923076923</v>
      </c>
      <c r="BF246" s="72">
        <f>Y246/E246</f>
        <v>0</v>
      </c>
      <c r="BG246" s="72">
        <f>AB246/E246</f>
        <v>175.03846153846155</v>
      </c>
      <c r="BH246" s="84">
        <f>Z246/E246</f>
        <v>0</v>
      </c>
      <c r="BI246" s="72"/>
      <c r="BJ246" s="72">
        <f t="shared" si="48"/>
        <v>2500.2034615384614</v>
      </c>
    </row>
    <row r="247" spans="1:62" ht="18.75">
      <c r="A247" s="36">
        <v>45746</v>
      </c>
      <c r="B247" s="37" t="s">
        <v>100</v>
      </c>
      <c r="C247" s="72"/>
      <c r="D247" s="39" t="s">
        <v>66</v>
      </c>
      <c r="E247" s="66">
        <v>7</v>
      </c>
      <c r="F247" s="73"/>
      <c r="G247" s="37" t="s">
        <v>67</v>
      </c>
      <c r="H247" s="42">
        <v>5750</v>
      </c>
      <c r="I247" s="72">
        <f t="shared" si="54"/>
        <v>3804.0542</v>
      </c>
      <c r="J247" s="74">
        <f t="shared" si="55"/>
        <v>3516.1138000000001</v>
      </c>
      <c r="K247" s="74">
        <f t="shared" si="56"/>
        <v>1945.9458</v>
      </c>
      <c r="L247" s="74">
        <f t="shared" si="57"/>
        <v>2233.8861999999999</v>
      </c>
      <c r="M247" s="74">
        <f t="shared" si="58"/>
        <v>0.61149805217391306</v>
      </c>
      <c r="N247" s="74">
        <f t="shared" si="59"/>
        <v>0.66157464347826089</v>
      </c>
      <c r="O247" s="75">
        <f t="shared" si="60"/>
        <v>8.1891661185710202E-2</v>
      </c>
      <c r="P247" s="71">
        <v>1398</v>
      </c>
      <c r="Q247" s="71">
        <v>1400</v>
      </c>
      <c r="R247" s="71"/>
      <c r="S247" s="71"/>
      <c r="T247" s="71">
        <v>3415</v>
      </c>
      <c r="U247" s="71">
        <v>5163</v>
      </c>
      <c r="V247" s="71">
        <f>2436+2401</f>
        <v>4837</v>
      </c>
      <c r="W247" s="71"/>
      <c r="X247" s="71">
        <v>12.48</v>
      </c>
      <c r="Y247" s="71"/>
      <c r="Z247" s="71"/>
      <c r="AA247" s="71"/>
      <c r="AB247" s="71">
        <v>1227</v>
      </c>
      <c r="AC247" s="76">
        <f>IFERROR(AD247/E247,0)</f>
        <v>3516.1138000000001</v>
      </c>
      <c r="AD247" s="77">
        <f t="shared" si="49"/>
        <v>24612.796600000001</v>
      </c>
      <c r="AE247" s="48">
        <v>290</v>
      </c>
      <c r="AF247" s="78"/>
      <c r="AG247" s="50">
        <v>120</v>
      </c>
      <c r="AH247" s="79"/>
      <c r="AI247" s="50">
        <v>490</v>
      </c>
      <c r="AJ247" s="50">
        <v>740</v>
      </c>
      <c r="AK247" s="50">
        <f>400+320</f>
        <v>720</v>
      </c>
      <c r="AL247" s="76"/>
      <c r="AM247" s="72"/>
      <c r="AN247" s="52"/>
      <c r="AO247" s="50">
        <v>2.46</v>
      </c>
      <c r="AP247" s="76"/>
      <c r="AQ247" s="52">
        <v>160</v>
      </c>
      <c r="AR247" s="82">
        <f t="shared" si="50"/>
        <v>3804.0542</v>
      </c>
      <c r="AS247" s="83">
        <f>AR247*E247</f>
        <v>26628.379400000002</v>
      </c>
      <c r="AT247" s="74">
        <f t="shared" si="51"/>
        <v>287.94039999999995</v>
      </c>
      <c r="AU247" s="73">
        <f>IFERROR(AT247*E247,0)</f>
        <v>2015.5827999999997</v>
      </c>
      <c r="AV247" s="72" t="str">
        <f>D247</f>
        <v>M35</v>
      </c>
      <c r="AW247" s="72">
        <f>P247/E247</f>
        <v>199.71428571428572</v>
      </c>
      <c r="AX247" s="72">
        <f>Q247/E247</f>
        <v>200</v>
      </c>
      <c r="AY247" s="72">
        <f>R247/E247</f>
        <v>0</v>
      </c>
      <c r="AZ247" s="72">
        <f>S247/E247</f>
        <v>0</v>
      </c>
      <c r="BA247" s="72">
        <f>T247/E247</f>
        <v>487.85714285714283</v>
      </c>
      <c r="BB247" s="72">
        <f>U247/E247</f>
        <v>737.57142857142856</v>
      </c>
      <c r="BC247" s="72">
        <f>V247/E247</f>
        <v>691</v>
      </c>
      <c r="BD247" s="72"/>
      <c r="BE247" s="72">
        <f>X247/E247</f>
        <v>1.7828571428571429</v>
      </c>
      <c r="BF247" s="72">
        <f>Y247/E247</f>
        <v>0</v>
      </c>
      <c r="BG247" s="72">
        <f>AB247/E247</f>
        <v>175.28571428571428</v>
      </c>
      <c r="BH247" s="84">
        <f>Z247/E247</f>
        <v>0</v>
      </c>
      <c r="BI247" s="72"/>
      <c r="BJ247" s="72">
        <f t="shared" si="48"/>
        <v>2493.2114285714283</v>
      </c>
    </row>
    <row r="248" spans="1:62" ht="18.75">
      <c r="A248" s="36">
        <v>45747</v>
      </c>
      <c r="B248" s="37" t="s">
        <v>95</v>
      </c>
      <c r="C248" s="72"/>
      <c r="D248" s="39" t="s">
        <v>31</v>
      </c>
      <c r="E248" s="66">
        <v>3</v>
      </c>
      <c r="F248" s="73"/>
      <c r="G248" s="37" t="s">
        <v>32</v>
      </c>
      <c r="H248" s="42">
        <v>5000</v>
      </c>
      <c r="I248" s="72">
        <f t="shared" si="54"/>
        <v>3003.4838000000004</v>
      </c>
      <c r="J248" s="74">
        <f t="shared" si="55"/>
        <v>2629.4607000000001</v>
      </c>
      <c r="K248" s="74">
        <f t="shared" si="56"/>
        <v>1996.5161999999996</v>
      </c>
      <c r="L248" s="74">
        <f t="shared" si="57"/>
        <v>2370.5392999999999</v>
      </c>
      <c r="M248" s="74">
        <f t="shared" si="58"/>
        <v>0.52589214000000006</v>
      </c>
      <c r="N248" s="74">
        <f t="shared" si="59"/>
        <v>0.60069676000000005</v>
      </c>
      <c r="O248" s="75">
        <f t="shared" si="60"/>
        <v>0.14224327444787438</v>
      </c>
      <c r="P248" s="71">
        <v>182</v>
      </c>
      <c r="Q248" s="71">
        <v>305</v>
      </c>
      <c r="R248" s="71"/>
      <c r="S248" s="71"/>
      <c r="T248" s="71">
        <v>1398</v>
      </c>
      <c r="U248" s="71">
        <v>2012</v>
      </c>
      <c r="V248" s="71">
        <f>1493+1465</f>
        <v>2958</v>
      </c>
      <c r="W248" s="71"/>
      <c r="X248" s="71">
        <v>2.23</v>
      </c>
      <c r="Y248" s="71"/>
      <c r="Z248" s="71"/>
      <c r="AA248" s="71"/>
      <c r="AB248" s="71">
        <v>529</v>
      </c>
      <c r="AC248" s="76">
        <f>IFERROR(AD248/E248,0)</f>
        <v>2629.4607000000001</v>
      </c>
      <c r="AD248" s="77">
        <f t="shared" si="49"/>
        <v>7888.3820999999998</v>
      </c>
      <c r="AE248" s="48">
        <v>154</v>
      </c>
      <c r="AF248" s="78"/>
      <c r="AG248" s="50">
        <v>66</v>
      </c>
      <c r="AH248" s="79"/>
      <c r="AI248" s="50">
        <v>480</v>
      </c>
      <c r="AJ248" s="50">
        <v>700</v>
      </c>
      <c r="AK248" s="50">
        <f>450+450</f>
        <v>900</v>
      </c>
      <c r="AL248" s="76"/>
      <c r="AM248" s="72"/>
      <c r="AN248" s="52"/>
      <c r="AO248" s="50">
        <v>1.54</v>
      </c>
      <c r="AP248" s="76"/>
      <c r="AQ248" s="52">
        <v>154</v>
      </c>
      <c r="AR248" s="82">
        <f t="shared" si="50"/>
        <v>3003.4838000000004</v>
      </c>
      <c r="AS248" s="83">
        <f>AR248*E248</f>
        <v>9010.4514000000017</v>
      </c>
      <c r="AT248" s="74">
        <f t="shared" si="51"/>
        <v>374.02310000000034</v>
      </c>
      <c r="AU248" s="73">
        <f>IFERROR(AT248*E248,0)</f>
        <v>1122.069300000001</v>
      </c>
      <c r="AV248" s="72" t="str">
        <f>D248</f>
        <v>M10</v>
      </c>
      <c r="AW248" s="72">
        <f>P248/E248</f>
        <v>60.666666666666664</v>
      </c>
      <c r="AX248" s="72">
        <f>Q248/E248</f>
        <v>101.66666666666667</v>
      </c>
      <c r="AY248" s="72">
        <f>R248/E248</f>
        <v>0</v>
      </c>
      <c r="AZ248" s="72">
        <f>S248/E248</f>
        <v>0</v>
      </c>
      <c r="BA248" s="72">
        <f>T248/E248</f>
        <v>466</v>
      </c>
      <c r="BB248" s="72">
        <f>U248/E248</f>
        <v>670.66666666666663</v>
      </c>
      <c r="BC248" s="72">
        <f>V248/E248</f>
        <v>986</v>
      </c>
      <c r="BD248" s="72"/>
      <c r="BE248" s="72">
        <f>X248/E248</f>
        <v>0.74333333333333329</v>
      </c>
      <c r="BF248" s="72">
        <f>Y248/E248</f>
        <v>0</v>
      </c>
      <c r="BG248" s="72">
        <f>AB248/E248</f>
        <v>176.33333333333334</v>
      </c>
      <c r="BH248" s="84">
        <f>Z248/E248</f>
        <v>0</v>
      </c>
      <c r="BI248" s="72"/>
      <c r="BJ248" s="72">
        <f t="shared" si="48"/>
        <v>2462.0766666666668</v>
      </c>
    </row>
    <row r="249" spans="1:62" ht="18.75">
      <c r="A249" s="36">
        <v>45747</v>
      </c>
      <c r="B249" s="37" t="s">
        <v>45</v>
      </c>
      <c r="C249" s="72"/>
      <c r="D249" s="39" t="s">
        <v>34</v>
      </c>
      <c r="E249" s="66">
        <v>6</v>
      </c>
      <c r="F249" s="73"/>
      <c r="G249" s="37" t="s">
        <v>69</v>
      </c>
      <c r="H249" s="42">
        <v>5400</v>
      </c>
      <c r="I249" s="72">
        <f t="shared" si="54"/>
        <v>3440.3942000000006</v>
      </c>
      <c r="J249" s="74">
        <f t="shared" si="55"/>
        <v>3104.3429500000002</v>
      </c>
      <c r="K249" s="74">
        <f t="shared" si="56"/>
        <v>1959.6057999999994</v>
      </c>
      <c r="L249" s="74">
        <f t="shared" si="57"/>
        <v>2295.6570499999998</v>
      </c>
      <c r="M249" s="74">
        <f t="shared" si="58"/>
        <v>0.57487832407407413</v>
      </c>
      <c r="N249" s="74">
        <f t="shared" si="59"/>
        <v>0.63711003703703717</v>
      </c>
      <c r="O249" s="75">
        <f t="shared" si="60"/>
        <v>0.10825197325572562</v>
      </c>
      <c r="P249" s="71">
        <v>852</v>
      </c>
      <c r="Q249" s="71">
        <v>843</v>
      </c>
      <c r="R249" s="71"/>
      <c r="S249" s="71"/>
      <c r="T249" s="71">
        <v>2613</v>
      </c>
      <c r="U249" s="71">
        <v>3908</v>
      </c>
      <c r="V249" s="71">
        <f>2844+2815</f>
        <v>5659</v>
      </c>
      <c r="W249" s="71"/>
      <c r="X249" s="71">
        <v>6.11</v>
      </c>
      <c r="Y249" s="71"/>
      <c r="Z249" s="71"/>
      <c r="AA249" s="71"/>
      <c r="AB249" s="71">
        <v>1175</v>
      </c>
      <c r="AC249" s="76">
        <f>IFERROR(AD249/E249,0)</f>
        <v>3104.3429500000002</v>
      </c>
      <c r="AD249" s="77">
        <f t="shared" si="49"/>
        <v>18626.057700000001</v>
      </c>
      <c r="AE249" s="48">
        <v>280</v>
      </c>
      <c r="AF249" s="78"/>
      <c r="AG249" s="50">
        <v>0</v>
      </c>
      <c r="AH249" s="79"/>
      <c r="AI249" s="50">
        <v>480</v>
      </c>
      <c r="AJ249" s="50">
        <v>715</v>
      </c>
      <c r="AK249" s="50">
        <f>440+400</f>
        <v>840</v>
      </c>
      <c r="AL249" s="76"/>
      <c r="AM249" s="72"/>
      <c r="AN249" s="52"/>
      <c r="AO249" s="50">
        <v>1.96</v>
      </c>
      <c r="AP249" s="76"/>
      <c r="AQ249" s="52">
        <v>160</v>
      </c>
      <c r="AR249" s="82">
        <f t="shared" si="50"/>
        <v>3440.3942000000006</v>
      </c>
      <c r="AS249" s="83">
        <f>AR249*E249</f>
        <v>20642.365200000004</v>
      </c>
      <c r="AT249" s="74">
        <f t="shared" si="51"/>
        <v>336.05125000000044</v>
      </c>
      <c r="AU249" s="73">
        <f>IFERROR(AT249*E249,0)</f>
        <v>2016.3075000000026</v>
      </c>
      <c r="AV249" s="72" t="str">
        <f>D249</f>
        <v>M15</v>
      </c>
      <c r="AW249" s="72">
        <f>P249/E249</f>
        <v>142</v>
      </c>
      <c r="AX249" s="72">
        <f>Q249/E249</f>
        <v>140.5</v>
      </c>
      <c r="AY249" s="72">
        <f>R249/E249</f>
        <v>0</v>
      </c>
      <c r="AZ249" s="72">
        <f>S249/E249</f>
        <v>0</v>
      </c>
      <c r="BA249" s="72">
        <f>T249/E249</f>
        <v>435.5</v>
      </c>
      <c r="BB249" s="72">
        <f>U249/E249</f>
        <v>651.33333333333337</v>
      </c>
      <c r="BC249" s="72">
        <f>V249/E249</f>
        <v>943.16666666666663</v>
      </c>
      <c r="BD249" s="72"/>
      <c r="BE249" s="72">
        <f>X249/E249</f>
        <v>1.0183333333333333</v>
      </c>
      <c r="BF249" s="72">
        <f>Y249/E249</f>
        <v>0</v>
      </c>
      <c r="BG249" s="72">
        <f>AB249/E249</f>
        <v>195.83333333333334</v>
      </c>
      <c r="BH249" s="84">
        <f>Z249/E249</f>
        <v>0</v>
      </c>
      <c r="BI249" s="72"/>
      <c r="BJ249" s="72">
        <f t="shared" si="48"/>
        <v>2509.3516666666669</v>
      </c>
    </row>
    <row r="250" spans="1:62" ht="18.75">
      <c r="A250" s="36">
        <v>45747</v>
      </c>
      <c r="B250" s="37" t="s">
        <v>123</v>
      </c>
      <c r="C250" s="72"/>
      <c r="D250" s="39" t="s">
        <v>34</v>
      </c>
      <c r="E250" s="66">
        <v>6</v>
      </c>
      <c r="F250" s="73"/>
      <c r="G250" s="37" t="s">
        <v>82</v>
      </c>
      <c r="H250" s="42">
        <v>5200</v>
      </c>
      <c r="I250" s="72">
        <f t="shared" si="54"/>
        <v>3256.6862000000001</v>
      </c>
      <c r="J250" s="74">
        <f t="shared" si="55"/>
        <v>2870.3475500000004</v>
      </c>
      <c r="K250" s="74">
        <f t="shared" si="56"/>
        <v>1943.3137999999999</v>
      </c>
      <c r="L250" s="74">
        <f t="shared" si="57"/>
        <v>2329.6524499999996</v>
      </c>
      <c r="M250" s="74">
        <f t="shared" si="58"/>
        <v>0.55198991346153858</v>
      </c>
      <c r="N250" s="74">
        <f t="shared" si="59"/>
        <v>0.62628580769230768</v>
      </c>
      <c r="O250" s="75">
        <f t="shared" si="60"/>
        <v>0.13459647073052156</v>
      </c>
      <c r="P250" s="71">
        <v>600</v>
      </c>
      <c r="Q250" s="71">
        <v>728</v>
      </c>
      <c r="R250" s="71"/>
      <c r="S250" s="71"/>
      <c r="T250" s="71">
        <v>2876</v>
      </c>
      <c r="U250" s="71">
        <v>4200</v>
      </c>
      <c r="V250" s="71">
        <f>2722+2721</f>
        <v>5443</v>
      </c>
      <c r="W250" s="71"/>
      <c r="X250" s="71">
        <v>5.49</v>
      </c>
      <c r="Y250" s="71"/>
      <c r="Z250" s="71"/>
      <c r="AA250" s="71"/>
      <c r="AB250" s="71">
        <v>1059</v>
      </c>
      <c r="AC250" s="76">
        <f>IFERROR(AD250/E250,0)</f>
        <v>2870.3475500000004</v>
      </c>
      <c r="AD250" s="77">
        <f t="shared" si="49"/>
        <v>17222.085300000002</v>
      </c>
      <c r="AE250" s="48">
        <v>196</v>
      </c>
      <c r="AF250" s="78"/>
      <c r="AG250" s="50">
        <v>84</v>
      </c>
      <c r="AH250" s="79"/>
      <c r="AI250" s="50">
        <v>480</v>
      </c>
      <c r="AJ250" s="50">
        <v>715</v>
      </c>
      <c r="AK250" s="50">
        <f>440+400</f>
        <v>840</v>
      </c>
      <c r="AL250" s="76"/>
      <c r="AM250" s="72"/>
      <c r="AN250" s="52"/>
      <c r="AO250" s="50">
        <v>1.96</v>
      </c>
      <c r="AP250" s="76"/>
      <c r="AQ250" s="52">
        <v>160</v>
      </c>
      <c r="AR250" s="82">
        <f t="shared" si="50"/>
        <v>3256.6862000000001</v>
      </c>
      <c r="AS250" s="83">
        <f>AR250*E250</f>
        <v>19540.117200000001</v>
      </c>
      <c r="AT250" s="74">
        <f t="shared" si="51"/>
        <v>386.33864999999969</v>
      </c>
      <c r="AU250" s="73">
        <f>IFERROR(AT250*E250,0)</f>
        <v>2318.0318999999981</v>
      </c>
      <c r="AV250" s="72" t="str">
        <f>D250</f>
        <v>M15</v>
      </c>
      <c r="AW250" s="72">
        <f>P250/E250</f>
        <v>100</v>
      </c>
      <c r="AX250" s="72">
        <f>Q250/E250</f>
        <v>121.33333333333333</v>
      </c>
      <c r="AY250" s="72">
        <f>R250/E250</f>
        <v>0</v>
      </c>
      <c r="AZ250" s="72">
        <f>S250/E250</f>
        <v>0</v>
      </c>
      <c r="BA250" s="72">
        <f>T250/E250</f>
        <v>479.33333333333331</v>
      </c>
      <c r="BB250" s="72">
        <f>U250/E250</f>
        <v>700</v>
      </c>
      <c r="BC250" s="72">
        <f>V250/E250</f>
        <v>907.16666666666663</v>
      </c>
      <c r="BD250" s="72"/>
      <c r="BE250" s="72">
        <f>X250/E250</f>
        <v>0.91500000000000004</v>
      </c>
      <c r="BF250" s="72">
        <f>Y250/E250</f>
        <v>0</v>
      </c>
      <c r="BG250" s="72">
        <f>AB250/E250</f>
        <v>176.5</v>
      </c>
      <c r="BH250" s="84">
        <f>Z250/E250</f>
        <v>0</v>
      </c>
      <c r="BI250" s="72"/>
      <c r="BJ250" s="72">
        <f t="shared" si="48"/>
        <v>2485.248333333333</v>
      </c>
    </row>
    <row r="251" spans="1:62" ht="18.75">
      <c r="A251" s="36">
        <v>45747</v>
      </c>
      <c r="B251" s="37" t="s">
        <v>89</v>
      </c>
      <c r="C251" s="72"/>
      <c r="D251" s="39" t="s">
        <v>40</v>
      </c>
      <c r="E251" s="66">
        <v>7</v>
      </c>
      <c r="F251" s="73"/>
      <c r="G251" s="37" t="s">
        <v>41</v>
      </c>
      <c r="H251" s="42">
        <v>5600</v>
      </c>
      <c r="I251" s="72">
        <f t="shared" si="54"/>
        <v>3452.0828000000001</v>
      </c>
      <c r="J251" s="74">
        <f t="shared" si="55"/>
        <v>3178.8469363636364</v>
      </c>
      <c r="K251" s="74">
        <f t="shared" si="56"/>
        <v>2147.9171999999999</v>
      </c>
      <c r="L251" s="74">
        <f t="shared" si="57"/>
        <v>2421.1530636363636</v>
      </c>
      <c r="M251" s="74">
        <f t="shared" si="58"/>
        <v>0.56765123863636369</v>
      </c>
      <c r="N251" s="74">
        <f t="shared" si="59"/>
        <v>0.61644335714285714</v>
      </c>
      <c r="O251" s="75">
        <f t="shared" si="60"/>
        <v>8.5954394504104289E-2</v>
      </c>
      <c r="P251" s="71">
        <v>917</v>
      </c>
      <c r="Q251" s="71">
        <v>1333.8181818181818</v>
      </c>
      <c r="R251" s="71">
        <v>0</v>
      </c>
      <c r="S251" s="71">
        <v>0</v>
      </c>
      <c r="T251" s="71">
        <v>3444.6363636363635</v>
      </c>
      <c r="U251" s="71">
        <v>5147.545454545455</v>
      </c>
      <c r="V251" s="71">
        <v>5398.909090909091</v>
      </c>
      <c r="W251" s="71">
        <v>0</v>
      </c>
      <c r="X251" s="71">
        <v>8.8390909090909098</v>
      </c>
      <c r="Y251" s="71">
        <v>0</v>
      </c>
      <c r="Z251" s="71">
        <v>0</v>
      </c>
      <c r="AA251" s="71">
        <v>0</v>
      </c>
      <c r="AB251" s="71">
        <v>1193.1818181818182</v>
      </c>
      <c r="AC251" s="76">
        <f>IFERROR(AD251/E251,0)</f>
        <v>3178.8469363636364</v>
      </c>
      <c r="AD251" s="77">
        <f t="shared" si="49"/>
        <v>22251.928554545455</v>
      </c>
      <c r="AE251" s="48">
        <v>224</v>
      </c>
      <c r="AF251" s="78"/>
      <c r="AG251" s="50">
        <v>96</v>
      </c>
      <c r="AH251" s="79"/>
      <c r="AI251" s="50">
        <v>495</v>
      </c>
      <c r="AJ251" s="50">
        <v>740</v>
      </c>
      <c r="AK251" s="50">
        <v>800</v>
      </c>
      <c r="AL251" s="76"/>
      <c r="AM251" s="72"/>
      <c r="AN251" s="52"/>
      <c r="AO251" s="50">
        <v>2.2400000000000002</v>
      </c>
      <c r="AP251" s="76"/>
      <c r="AQ251" s="52">
        <v>155</v>
      </c>
      <c r="AR251" s="82">
        <f t="shared" si="50"/>
        <v>3452.0828000000001</v>
      </c>
      <c r="AS251" s="83">
        <f>AR251*E251</f>
        <v>24164.579600000001</v>
      </c>
      <c r="AT251" s="74">
        <f t="shared" si="51"/>
        <v>273.23586363636377</v>
      </c>
      <c r="AU251" s="73">
        <f>IFERROR(AT251*E251,0)</f>
        <v>1912.6510454545464</v>
      </c>
      <c r="AV251" s="72" t="str">
        <f>D251</f>
        <v>M25</v>
      </c>
      <c r="AW251" s="72">
        <f>P251/E251</f>
        <v>131</v>
      </c>
      <c r="AX251" s="72">
        <f>Q251/E251</f>
        <v>190.54545454545453</v>
      </c>
      <c r="AY251" s="72">
        <f>R251/E251</f>
        <v>0</v>
      </c>
      <c r="AZ251" s="72">
        <f>S251/E251</f>
        <v>0</v>
      </c>
      <c r="BA251" s="72">
        <f>T251/E251</f>
        <v>492.09090909090907</v>
      </c>
      <c r="BB251" s="72">
        <f>U251/E251</f>
        <v>735.36363636363637</v>
      </c>
      <c r="BC251" s="72">
        <f>V251/E251</f>
        <v>771.27272727272725</v>
      </c>
      <c r="BD251" s="72"/>
      <c r="BE251" s="72">
        <f>X251/E251</f>
        <v>1.2627272727272729</v>
      </c>
      <c r="BF251" s="72">
        <f>Y251/E251</f>
        <v>0</v>
      </c>
      <c r="BG251" s="72">
        <f>AB251/E251</f>
        <v>170.45454545454547</v>
      </c>
      <c r="BH251" s="84">
        <f>Z251/E251</f>
        <v>0</v>
      </c>
      <c r="BI251" s="72"/>
      <c r="BJ251" s="72">
        <f t="shared" si="48"/>
        <v>2491.9899999999998</v>
      </c>
    </row>
    <row r="252" spans="1:62" ht="18.75">
      <c r="A252" s="36">
        <v>45747</v>
      </c>
      <c r="B252" s="37" t="s">
        <v>102</v>
      </c>
      <c r="C252" s="72"/>
      <c r="D252" s="39" t="s">
        <v>40</v>
      </c>
      <c r="E252" s="66">
        <v>4</v>
      </c>
      <c r="F252" s="73"/>
      <c r="G252" s="37" t="s">
        <v>41</v>
      </c>
      <c r="H252" s="42">
        <v>5800</v>
      </c>
      <c r="I252" s="72">
        <f t="shared" si="54"/>
        <v>3452.0828000000001</v>
      </c>
      <c r="J252" s="74">
        <f t="shared" si="55"/>
        <v>3178.8469363636364</v>
      </c>
      <c r="K252" s="74">
        <f t="shared" si="56"/>
        <v>2347.9171999999999</v>
      </c>
      <c r="L252" s="74">
        <f t="shared" si="57"/>
        <v>2621.1530636363636</v>
      </c>
      <c r="M252" s="74">
        <f t="shared" si="58"/>
        <v>0.54807705799373041</v>
      </c>
      <c r="N252" s="74">
        <f t="shared" si="59"/>
        <v>0.59518668965517241</v>
      </c>
      <c r="O252" s="75">
        <f t="shared" si="60"/>
        <v>8.5954394504104373E-2</v>
      </c>
      <c r="P252" s="71">
        <v>524</v>
      </c>
      <c r="Q252" s="71">
        <v>762.18181818181813</v>
      </c>
      <c r="R252" s="71">
        <v>0</v>
      </c>
      <c r="S252" s="71">
        <v>0</v>
      </c>
      <c r="T252" s="71">
        <v>1968.3636363636363</v>
      </c>
      <c r="U252" s="71">
        <v>2941.4545454545455</v>
      </c>
      <c r="V252" s="71">
        <v>3085.090909090909</v>
      </c>
      <c r="W252" s="71">
        <v>0</v>
      </c>
      <c r="X252" s="71">
        <v>5.0509090909090908</v>
      </c>
      <c r="Y252" s="71">
        <v>0</v>
      </c>
      <c r="Z252" s="71">
        <v>0</v>
      </c>
      <c r="AA252" s="71">
        <v>0</v>
      </c>
      <c r="AB252" s="71">
        <v>681.81818181818187</v>
      </c>
      <c r="AC252" s="76">
        <f>IFERROR(AD252/E252,0)</f>
        <v>3178.8469363636364</v>
      </c>
      <c r="AD252" s="77">
        <f t="shared" si="49"/>
        <v>12715.387745454545</v>
      </c>
      <c r="AE252" s="48">
        <v>224</v>
      </c>
      <c r="AF252" s="78"/>
      <c r="AG252" s="50">
        <v>96</v>
      </c>
      <c r="AH252" s="79"/>
      <c r="AI252" s="50">
        <v>495</v>
      </c>
      <c r="AJ252" s="50">
        <v>740</v>
      </c>
      <c r="AK252" s="50">
        <v>800</v>
      </c>
      <c r="AL252" s="76"/>
      <c r="AM252" s="72"/>
      <c r="AN252" s="52"/>
      <c r="AO252" s="50">
        <v>2.2400000000000002</v>
      </c>
      <c r="AP252" s="76"/>
      <c r="AQ252" s="52">
        <v>155</v>
      </c>
      <c r="AR252" s="82">
        <f t="shared" si="50"/>
        <v>3452.0828000000001</v>
      </c>
      <c r="AS252" s="83">
        <f>AR252*E252</f>
        <v>13808.331200000001</v>
      </c>
      <c r="AT252" s="74">
        <f t="shared" si="51"/>
        <v>273.23586363636377</v>
      </c>
      <c r="AU252" s="73">
        <f>IFERROR(AT252*E252,0)</f>
        <v>1092.9434545454551</v>
      </c>
      <c r="AV252" s="72" t="str">
        <f>D252</f>
        <v>M25</v>
      </c>
      <c r="AW252" s="72">
        <f>P252/E252</f>
        <v>131</v>
      </c>
      <c r="AX252" s="72">
        <f>Q252/E252</f>
        <v>190.54545454545453</v>
      </c>
      <c r="AY252" s="72">
        <f>R252/E252</f>
        <v>0</v>
      </c>
      <c r="AZ252" s="72">
        <f>S252/E252</f>
        <v>0</v>
      </c>
      <c r="BA252" s="72">
        <f>T252/E252</f>
        <v>492.09090909090907</v>
      </c>
      <c r="BB252" s="72">
        <f>U252/E252</f>
        <v>735.36363636363637</v>
      </c>
      <c r="BC252" s="72">
        <f>V252/E252</f>
        <v>771.27272727272725</v>
      </c>
      <c r="BD252" s="72"/>
      <c r="BE252" s="72">
        <f>X252/E252</f>
        <v>1.2627272727272727</v>
      </c>
      <c r="BF252" s="72">
        <f>Y252/E252</f>
        <v>0</v>
      </c>
      <c r="BG252" s="72">
        <f>AB252/E252</f>
        <v>170.45454545454547</v>
      </c>
      <c r="BH252" s="84">
        <f>Z252/E252</f>
        <v>0</v>
      </c>
      <c r="BI252" s="72"/>
      <c r="BJ252" s="72">
        <f t="shared" si="48"/>
        <v>2491.9899999999998</v>
      </c>
    </row>
    <row r="253" spans="1:62" ht="18.75">
      <c r="A253" s="36">
        <v>45747</v>
      </c>
      <c r="B253" s="37" t="s">
        <v>93</v>
      </c>
      <c r="C253" s="72"/>
      <c r="D253" s="39" t="s">
        <v>43</v>
      </c>
      <c r="E253" s="40">
        <v>26</v>
      </c>
      <c r="F253" s="73"/>
      <c r="G253" s="37" t="s">
        <v>77</v>
      </c>
      <c r="H253" s="42">
        <v>6271.19</v>
      </c>
      <c r="I253" s="72">
        <f t="shared" si="54"/>
        <v>3611.0944</v>
      </c>
      <c r="J253" s="74">
        <f t="shared" si="55"/>
        <v>3301.6957999999995</v>
      </c>
      <c r="K253" s="74">
        <f t="shared" si="56"/>
        <v>2660.0955999999996</v>
      </c>
      <c r="L253" s="74">
        <f t="shared" si="57"/>
        <v>2969.4942000000001</v>
      </c>
      <c r="M253" s="74">
        <f t="shared" si="58"/>
        <v>0.52648632875100254</v>
      </c>
      <c r="N253" s="74">
        <f t="shared" si="59"/>
        <v>0.57582283426271574</v>
      </c>
      <c r="O253" s="75">
        <f t="shared" si="60"/>
        <v>9.3708996449642867E-2</v>
      </c>
      <c r="P253" s="71">
        <v>3749</v>
      </c>
      <c r="Q253" s="71">
        <v>5634</v>
      </c>
      <c r="R253" s="71"/>
      <c r="S253" s="71"/>
      <c r="T253" s="71">
        <v>12965</v>
      </c>
      <c r="U253" s="71">
        <v>19202</v>
      </c>
      <c r="V253" s="71">
        <f>9521+9398</f>
        <v>18919</v>
      </c>
      <c r="W253" s="71"/>
      <c r="X253" s="71">
        <v>36.04</v>
      </c>
      <c r="Y253" s="71"/>
      <c r="Z253" s="71"/>
      <c r="AA253" s="71"/>
      <c r="AB253" s="71">
        <v>4253</v>
      </c>
      <c r="AC253" s="76">
        <f>IFERROR(AD253/E253,0)</f>
        <v>3301.6957999999995</v>
      </c>
      <c r="AD253" s="77">
        <f t="shared" si="49"/>
        <v>85844.090799999991</v>
      </c>
      <c r="AE253" s="50">
        <v>252</v>
      </c>
      <c r="AF253" s="78"/>
      <c r="AG253" s="50">
        <v>108</v>
      </c>
      <c r="AH253" s="79"/>
      <c r="AI253" s="50">
        <v>525</v>
      </c>
      <c r="AJ253" s="50">
        <v>760</v>
      </c>
      <c r="AK253" s="50">
        <f>350+360</f>
        <v>710</v>
      </c>
      <c r="AL253" s="76"/>
      <c r="AM253" s="72"/>
      <c r="AN253" s="52"/>
      <c r="AO253" s="50">
        <v>2.52</v>
      </c>
      <c r="AP253" s="76"/>
      <c r="AQ253" s="52">
        <v>155</v>
      </c>
      <c r="AR253" s="82">
        <f t="shared" si="50"/>
        <v>3611.0944</v>
      </c>
      <c r="AS253" s="83">
        <f>AR253*E253</f>
        <v>93888.454400000002</v>
      </c>
      <c r="AT253" s="74">
        <f t="shared" si="51"/>
        <v>309.39860000000044</v>
      </c>
      <c r="AU253" s="73">
        <f>IFERROR(AT253*E253,0)</f>
        <v>8044.3636000000115</v>
      </c>
      <c r="AV253" s="72" t="str">
        <f>D253</f>
        <v>M30</v>
      </c>
      <c r="AW253" s="72">
        <f>P253/E253</f>
        <v>144.19230769230768</v>
      </c>
      <c r="AX253" s="72">
        <f>Q253/E253</f>
        <v>216.69230769230768</v>
      </c>
      <c r="AY253" s="72">
        <f>R253/E253</f>
        <v>0</v>
      </c>
      <c r="AZ253" s="72">
        <f>S253/E253</f>
        <v>0</v>
      </c>
      <c r="BA253" s="72">
        <f>T253/E253</f>
        <v>498.65384615384613</v>
      </c>
      <c r="BB253" s="72">
        <f>U253/E253</f>
        <v>738.53846153846155</v>
      </c>
      <c r="BC253" s="72">
        <f>V253/E253</f>
        <v>727.65384615384619</v>
      </c>
      <c r="BD253" s="72"/>
      <c r="BE253" s="72">
        <f>X253/E253</f>
        <v>1.3861538461538461</v>
      </c>
      <c r="BF253" s="72">
        <f>Y253/E253</f>
        <v>0</v>
      </c>
      <c r="BG253" s="72">
        <f>AB253/E253</f>
        <v>163.57692307692307</v>
      </c>
      <c r="BH253" s="84">
        <f>Z253/E253</f>
        <v>0</v>
      </c>
      <c r="BI253" s="72"/>
      <c r="BJ253" s="72">
        <f t="shared" si="48"/>
        <v>2490.6938461538457</v>
      </c>
    </row>
    <row r="254" spans="1:62" ht="18.75">
      <c r="A254" s="36">
        <v>45747</v>
      </c>
      <c r="B254" s="37" t="s">
        <v>54</v>
      </c>
      <c r="C254" s="72"/>
      <c r="D254" s="39" t="s">
        <v>43</v>
      </c>
      <c r="E254" s="66">
        <v>3</v>
      </c>
      <c r="F254" s="73"/>
      <c r="G254" s="37" t="s">
        <v>44</v>
      </c>
      <c r="H254" s="42">
        <v>5800</v>
      </c>
      <c r="I254" s="72">
        <f t="shared" si="54"/>
        <v>3611.5942</v>
      </c>
      <c r="J254" s="74">
        <f t="shared" si="55"/>
        <v>3557.0188999999996</v>
      </c>
      <c r="K254" s="74">
        <f t="shared" si="56"/>
        <v>2188.4058</v>
      </c>
      <c r="L254" s="74">
        <f t="shared" si="57"/>
        <v>2242.9811000000004</v>
      </c>
      <c r="M254" s="74">
        <f t="shared" si="58"/>
        <v>0.61327912068965507</v>
      </c>
      <c r="N254" s="74">
        <f t="shared" si="59"/>
        <v>0.62268865517241379</v>
      </c>
      <c r="O254" s="75">
        <f t="shared" si="60"/>
        <v>1.5342988478357701E-2</v>
      </c>
      <c r="P254" s="71">
        <v>749</v>
      </c>
      <c r="Q254" s="71">
        <v>336</v>
      </c>
      <c r="R254" s="71"/>
      <c r="S254" s="71"/>
      <c r="T254" s="71">
        <v>1494</v>
      </c>
      <c r="U254" s="71">
        <v>2230</v>
      </c>
      <c r="V254" s="71">
        <f>1119+1055</f>
        <v>2174</v>
      </c>
      <c r="W254" s="71"/>
      <c r="X254" s="71">
        <v>5.51</v>
      </c>
      <c r="Y254" s="71"/>
      <c r="Z254" s="71"/>
      <c r="AA254" s="71"/>
      <c r="AB254" s="71">
        <v>535</v>
      </c>
      <c r="AC254" s="76">
        <f>IFERROR(AD254/E254,0)</f>
        <v>3557.0188999999996</v>
      </c>
      <c r="AD254" s="77">
        <f t="shared" si="49"/>
        <v>10671.056699999999</v>
      </c>
      <c r="AE254" s="48">
        <v>252</v>
      </c>
      <c r="AF254" s="78"/>
      <c r="AG254" s="50">
        <v>108</v>
      </c>
      <c r="AH254" s="79"/>
      <c r="AI254" s="50">
        <v>495</v>
      </c>
      <c r="AJ254" s="50">
        <v>743</v>
      </c>
      <c r="AK254" s="50">
        <f>300+475</f>
        <v>775</v>
      </c>
      <c r="AL254" s="76"/>
      <c r="AM254" s="72"/>
      <c r="AN254" s="52"/>
      <c r="AO254" s="50">
        <v>2.16</v>
      </c>
      <c r="AP254" s="76"/>
      <c r="AQ254" s="52">
        <v>150</v>
      </c>
      <c r="AR254" s="82">
        <f t="shared" si="50"/>
        <v>3611.5942</v>
      </c>
      <c r="AS254" s="83">
        <f>AR254*E254</f>
        <v>10834.7826</v>
      </c>
      <c r="AT254" s="74">
        <f t="shared" si="51"/>
        <v>54.575300000000425</v>
      </c>
      <c r="AU254" s="73">
        <f>IFERROR(AT254*E254,0)</f>
        <v>163.72590000000127</v>
      </c>
      <c r="AV254" s="72" t="str">
        <f>D254</f>
        <v>M30</v>
      </c>
      <c r="AW254" s="72">
        <f>P254/E254</f>
        <v>249.66666666666666</v>
      </c>
      <c r="AX254" s="72">
        <f>Q254/E254</f>
        <v>112</v>
      </c>
      <c r="AY254" s="72">
        <f>R254/E254</f>
        <v>0</v>
      </c>
      <c r="AZ254" s="72">
        <f>S254/E254</f>
        <v>0</v>
      </c>
      <c r="BA254" s="72">
        <f>T254/E254</f>
        <v>498</v>
      </c>
      <c r="BB254" s="72">
        <f>U254/E254</f>
        <v>743.33333333333337</v>
      </c>
      <c r="BC254" s="72">
        <f>V254/E254</f>
        <v>724.66666666666663</v>
      </c>
      <c r="BD254" s="72"/>
      <c r="BE254" s="72">
        <f>X254/E254</f>
        <v>1.8366666666666667</v>
      </c>
      <c r="BF254" s="72">
        <f>Y254/E254</f>
        <v>0</v>
      </c>
      <c r="BG254" s="72">
        <f>AB254/E254</f>
        <v>178.33333333333334</v>
      </c>
      <c r="BH254" s="84">
        <f>Z254/E254</f>
        <v>0</v>
      </c>
      <c r="BI254" s="72"/>
      <c r="BJ254" s="72">
        <f t="shared" si="48"/>
        <v>2507.8366666666666</v>
      </c>
    </row>
    <row r="255" spans="1:62" ht="18.75">
      <c r="A255" s="36">
        <v>45747</v>
      </c>
      <c r="B255" s="37" t="s">
        <v>100</v>
      </c>
      <c r="C255" s="72"/>
      <c r="D255" s="39" t="s">
        <v>66</v>
      </c>
      <c r="E255" s="40">
        <v>79</v>
      </c>
      <c r="F255" s="73"/>
      <c r="G255" s="37" t="s">
        <v>67</v>
      </c>
      <c r="H255" s="42">
        <v>5750</v>
      </c>
      <c r="I255" s="72">
        <f t="shared" si="54"/>
        <v>3804.0542</v>
      </c>
      <c r="J255" s="74">
        <f t="shared" si="55"/>
        <v>3527.8268253164551</v>
      </c>
      <c r="K255" s="74">
        <f t="shared" si="56"/>
        <v>1945.9458</v>
      </c>
      <c r="L255" s="74">
        <f t="shared" si="57"/>
        <v>2222.1731746835449</v>
      </c>
      <c r="M255" s="74">
        <f t="shared" si="58"/>
        <v>0.61353510005503564</v>
      </c>
      <c r="N255" s="74">
        <f t="shared" si="59"/>
        <v>0.66157464347826089</v>
      </c>
      <c r="O255" s="75">
        <f t="shared" si="60"/>
        <v>7.8299584520781257E-2</v>
      </c>
      <c r="P255" s="71">
        <v>15798</v>
      </c>
      <c r="Q255" s="71">
        <v>15854</v>
      </c>
      <c r="R255" s="71"/>
      <c r="S255" s="71"/>
      <c r="T255" s="71">
        <v>39356</v>
      </c>
      <c r="U255" s="71">
        <v>59136</v>
      </c>
      <c r="V255" s="71">
        <f>26795+26778</f>
        <v>53573</v>
      </c>
      <c r="W255" s="71"/>
      <c r="X255" s="71">
        <v>141.96</v>
      </c>
      <c r="Y255" s="71"/>
      <c r="Z255" s="71"/>
      <c r="AA255" s="71"/>
      <c r="AB255" s="71">
        <v>13799</v>
      </c>
      <c r="AC255" s="76">
        <f>IFERROR(AD255/E255,0)</f>
        <v>3527.8268253164551</v>
      </c>
      <c r="AD255" s="77">
        <f t="shared" si="49"/>
        <v>278698.31919999997</v>
      </c>
      <c r="AE255" s="48">
        <v>290</v>
      </c>
      <c r="AF255" s="78"/>
      <c r="AG255" s="50">
        <v>120</v>
      </c>
      <c r="AH255" s="79"/>
      <c r="AI255" s="50">
        <v>490</v>
      </c>
      <c r="AJ255" s="50">
        <v>740</v>
      </c>
      <c r="AK255" s="50">
        <v>720</v>
      </c>
      <c r="AL255" s="76"/>
      <c r="AM255" s="72"/>
      <c r="AN255" s="52"/>
      <c r="AO255" s="50">
        <v>2.46</v>
      </c>
      <c r="AP255" s="76"/>
      <c r="AQ255" s="52">
        <v>160</v>
      </c>
      <c r="AR255" s="82">
        <f t="shared" si="50"/>
        <v>3804.0542</v>
      </c>
      <c r="AS255" s="83">
        <f>AR255*E255</f>
        <v>300520.2818</v>
      </c>
      <c r="AT255" s="74">
        <f t="shared" si="51"/>
        <v>276.22737468354489</v>
      </c>
      <c r="AU255" s="73">
        <f>IFERROR(AT255*E255,0)</f>
        <v>21821.962600000046</v>
      </c>
      <c r="AV255" s="72" t="str">
        <f>D255</f>
        <v>M35</v>
      </c>
      <c r="AW255" s="72">
        <f>P255/E255</f>
        <v>199.97468354430379</v>
      </c>
      <c r="AX255" s="72">
        <f>Q255/E255</f>
        <v>200.68354430379748</v>
      </c>
      <c r="AY255" s="72">
        <f>R255/E255</f>
        <v>0</v>
      </c>
      <c r="AZ255" s="72">
        <f>S255/E255</f>
        <v>0</v>
      </c>
      <c r="BA255" s="72">
        <f>T255/E255</f>
        <v>498.17721518987344</v>
      </c>
      <c r="BB255" s="72">
        <f>U255/E255</f>
        <v>748.55696202531647</v>
      </c>
      <c r="BC255" s="72">
        <f>V255/E255</f>
        <v>678.13924050632909</v>
      </c>
      <c r="BD255" s="72"/>
      <c r="BE255" s="72">
        <f>X255/E255</f>
        <v>1.7969620253164558</v>
      </c>
      <c r="BF255" s="72">
        <f>Y255/E255</f>
        <v>0</v>
      </c>
      <c r="BG255" s="72">
        <f>AB255/E255</f>
        <v>174.67088607594937</v>
      </c>
      <c r="BH255" s="84">
        <f>Z255/E255</f>
        <v>0</v>
      </c>
      <c r="BI255" s="72"/>
      <c r="BJ255" s="72">
        <f t="shared" ref="BJ255" si="62">SUM(AW255:BI255)</f>
        <v>2501.9994936708863</v>
      </c>
    </row>
    <row r="256" spans="1:62" ht="18.75">
      <c r="A256" s="36"/>
      <c r="B256" s="65"/>
      <c r="C256" s="72"/>
      <c r="D256" s="39"/>
      <c r="E256" s="66"/>
      <c r="F256" s="73"/>
      <c r="G256" s="37"/>
      <c r="H256" s="42"/>
      <c r="I256" s="72"/>
      <c r="J256" s="74"/>
      <c r="K256" s="74"/>
      <c r="L256" s="74"/>
      <c r="M256" s="74"/>
      <c r="N256" s="74"/>
      <c r="O256" s="75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6"/>
      <c r="AD256" s="77"/>
      <c r="AE256" s="48"/>
      <c r="AF256" s="78"/>
      <c r="AG256" s="50"/>
      <c r="AH256" s="79"/>
      <c r="AI256" s="50"/>
      <c r="AJ256" s="50"/>
      <c r="AK256" s="50"/>
      <c r="AL256" s="76"/>
      <c r="AM256" s="72"/>
      <c r="AN256" s="52"/>
      <c r="AO256" s="50"/>
      <c r="AP256" s="76"/>
      <c r="AQ256" s="52"/>
      <c r="AR256" s="82"/>
      <c r="AS256" s="83"/>
      <c r="AT256" s="74"/>
      <c r="AU256" s="73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84"/>
      <c r="BI256" s="72"/>
      <c r="BJ256" s="72"/>
    </row>
    <row r="257" spans="1:62" ht="18.75">
      <c r="A257" s="36"/>
      <c r="B257" s="65"/>
      <c r="C257" s="72"/>
      <c r="D257" s="39"/>
      <c r="E257" s="66"/>
      <c r="F257" s="73"/>
      <c r="G257" s="37"/>
      <c r="H257" s="42"/>
      <c r="I257" s="72"/>
      <c r="J257" s="74"/>
      <c r="K257" s="74"/>
      <c r="L257" s="74"/>
      <c r="M257" s="74"/>
      <c r="N257" s="74"/>
      <c r="O257" s="75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6"/>
      <c r="AD257" s="77"/>
      <c r="AE257" s="48"/>
      <c r="AF257" s="78"/>
      <c r="AG257" s="50"/>
      <c r="AH257" s="79"/>
      <c r="AI257" s="50"/>
      <c r="AJ257" s="50"/>
      <c r="AK257" s="50"/>
      <c r="AL257" s="76"/>
      <c r="AM257" s="72"/>
      <c r="AN257" s="52"/>
      <c r="AO257" s="50"/>
      <c r="AP257" s="76"/>
      <c r="AQ257" s="52"/>
      <c r="AR257" s="82"/>
      <c r="AS257" s="83"/>
      <c r="AT257" s="74"/>
      <c r="AU257" s="73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84"/>
      <c r="BI257" s="72"/>
      <c r="BJ257" s="72"/>
    </row>
    <row r="258" spans="1:62" ht="18.75">
      <c r="A258" s="36"/>
      <c r="B258" s="65"/>
      <c r="C258" s="72"/>
      <c r="D258" s="39"/>
      <c r="E258" s="66"/>
      <c r="F258" s="73"/>
      <c r="G258" s="37"/>
      <c r="H258" s="42"/>
      <c r="I258" s="72"/>
      <c r="J258" s="74"/>
      <c r="K258" s="74"/>
      <c r="L258" s="74"/>
      <c r="M258" s="74"/>
      <c r="N258" s="74"/>
      <c r="O258" s="75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6"/>
      <c r="AD258" s="77"/>
      <c r="AE258" s="48"/>
      <c r="AF258" s="78"/>
      <c r="AG258" s="50"/>
      <c r="AH258" s="79"/>
      <c r="AI258" s="50"/>
      <c r="AJ258" s="50"/>
      <c r="AK258" s="50"/>
      <c r="AL258" s="76"/>
      <c r="AM258" s="72"/>
      <c r="AN258" s="52"/>
      <c r="AO258" s="50"/>
      <c r="AP258" s="76"/>
      <c r="AQ258" s="52"/>
      <c r="AR258" s="82"/>
      <c r="AS258" s="83"/>
      <c r="AT258" s="74"/>
      <c r="AU258" s="73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84"/>
      <c r="BI258" s="72"/>
      <c r="BJ258" s="72"/>
    </row>
    <row r="259" spans="1:62" ht="18.75">
      <c r="A259" s="36"/>
      <c r="B259" s="37"/>
      <c r="C259" s="72"/>
      <c r="D259" s="39"/>
      <c r="E259" s="66"/>
      <c r="F259" s="73"/>
      <c r="G259" s="37"/>
      <c r="H259" s="42"/>
      <c r="I259" s="72"/>
      <c r="J259" s="74"/>
      <c r="K259" s="74"/>
      <c r="L259" s="74"/>
      <c r="M259" s="74"/>
      <c r="N259" s="74"/>
      <c r="O259" s="75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6"/>
      <c r="AD259" s="77"/>
      <c r="AE259" s="48"/>
      <c r="AF259" s="78"/>
      <c r="AG259" s="50"/>
      <c r="AH259" s="79"/>
      <c r="AI259" s="50"/>
      <c r="AJ259" s="50"/>
      <c r="AK259" s="50"/>
      <c r="AL259" s="76"/>
      <c r="AM259" s="72"/>
      <c r="AN259" s="52"/>
      <c r="AO259" s="50"/>
      <c r="AP259" s="76"/>
      <c r="AQ259" s="52"/>
      <c r="AR259" s="82"/>
      <c r="AS259" s="83"/>
      <c r="AT259" s="74"/>
      <c r="AU259" s="73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84"/>
      <c r="BI259" s="72"/>
      <c r="BJ259" s="72"/>
    </row>
    <row r="260" spans="1:62" ht="18.75">
      <c r="A260" s="36"/>
      <c r="B260" s="65"/>
      <c r="C260" s="72"/>
      <c r="D260" s="39"/>
      <c r="E260" s="66"/>
      <c r="F260" s="73"/>
      <c r="G260" s="37"/>
      <c r="H260" s="42"/>
      <c r="I260" s="72"/>
      <c r="J260" s="74"/>
      <c r="K260" s="74"/>
      <c r="L260" s="74"/>
      <c r="M260" s="74"/>
      <c r="N260" s="74"/>
      <c r="O260" s="75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6"/>
      <c r="AD260" s="77"/>
      <c r="AE260" s="48"/>
      <c r="AF260" s="78"/>
      <c r="AG260" s="50"/>
      <c r="AH260" s="79"/>
      <c r="AI260" s="50"/>
      <c r="AJ260" s="50"/>
      <c r="AK260" s="50"/>
      <c r="AL260" s="76"/>
      <c r="AM260" s="72"/>
      <c r="AN260" s="52"/>
      <c r="AO260" s="50"/>
      <c r="AP260" s="76"/>
      <c r="AQ260" s="52"/>
      <c r="AR260" s="82"/>
      <c r="AS260" s="83"/>
      <c r="AT260" s="74"/>
      <c r="AU260" s="73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84"/>
      <c r="BI260" s="72"/>
      <c r="BJ260" s="72"/>
    </row>
  </sheetData>
  <conditionalFormatting sqref="M3:O260">
    <cfRule type="cellIs" dxfId="1" priority="1" operator="greaterThan">
      <formula>0.65</formula>
    </cfRule>
    <cfRule type="cellIs" dxfId="0" priority="2" operator="greaterThanOrEqual">
      <formula>0.65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Sheldekar</dc:creator>
  <cp:lastModifiedBy>Tejas Sheldekar</cp:lastModifiedBy>
  <dcterms:created xsi:type="dcterms:W3CDTF">2025-07-07T07:38:59Z</dcterms:created>
  <dcterms:modified xsi:type="dcterms:W3CDTF">2025-08-24T07:34:58Z</dcterms:modified>
</cp:coreProperties>
</file>